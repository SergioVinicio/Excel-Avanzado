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/>
  <mc:AlternateContent xmlns:mc="http://schemas.openxmlformats.org/markup-compatibility/2006">
    <mc:Choice Requires="x15">
      <x15ac:absPath xmlns:x15ac="http://schemas.microsoft.com/office/spreadsheetml/2010/11/ac" url="C:\Users\steph\Dropbox (Personal)\UFM 2\2017\Tareas\"/>
    </mc:Choice>
  </mc:AlternateContent>
  <bookViews>
    <workbookView xWindow="0" yWindow="0" windowWidth="16812" windowHeight="7452"/>
  </bookViews>
  <sheets>
    <sheet name="Summary FR" sheetId="8" r:id="rId1"/>
    <sheet name="Employees" sheetId="2" r:id="rId2"/>
    <sheet name="Employees (W)" sheetId="3" r:id="rId3"/>
    <sheet name="Revenue" sheetId="1" r:id="rId4"/>
    <sheet name="Costs" sheetId="5" r:id="rId5"/>
    <sheet name="Profit" sheetId="4" r:id="rId6"/>
    <sheet name="Empresas" sheetId="9" r:id="rId7"/>
    <sheet name="Ejemplos posibles" sheetId="11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D2" i="4"/>
  <c r="E10" i="8" s="1"/>
  <c r="E2" i="4"/>
  <c r="F2" i="4"/>
  <c r="G2" i="4"/>
  <c r="C2" i="4"/>
  <c r="E9" i="8" s="1"/>
  <c r="E12" i="8"/>
  <c r="E20" i="8" s="1"/>
  <c r="E11" i="8"/>
  <c r="E19" i="8" s="1"/>
  <c r="C13" i="8"/>
  <c r="C21" i="8" s="1"/>
  <c r="C12" i="8"/>
  <c r="C20" i="8" s="1"/>
  <c r="C11" i="8"/>
  <c r="C19" i="8" s="1"/>
  <c r="C10" i="8"/>
  <c r="C18" i="8" s="1"/>
  <c r="C9" i="8"/>
  <c r="C17" i="8" s="1"/>
  <c r="C31" i="9"/>
  <c r="D31" i="9"/>
  <c r="C30" i="9"/>
  <c r="C29" i="9"/>
  <c r="C27" i="9"/>
  <c r="D30" i="9"/>
  <c r="F13" i="8"/>
  <c r="D12" i="8"/>
  <c r="D20" i="8"/>
  <c r="E13" i="8"/>
  <c r="H13" i="8" s="1"/>
  <c r="D28" i="9" l="1"/>
  <c r="H12" i="8"/>
  <c r="E17" i="8"/>
  <c r="H10" i="8"/>
  <c r="H11" i="8"/>
  <c r="D10" i="8"/>
  <c r="E18" i="8"/>
  <c r="E21" i="8"/>
  <c r="D11" i="8"/>
  <c r="F10" i="8"/>
  <c r="F12" i="8"/>
  <c r="D27" i="9"/>
  <c r="D13" i="8"/>
  <c r="D9" i="8"/>
  <c r="F11" i="8"/>
  <c r="D17" i="8" l="1"/>
  <c r="G10" i="8"/>
  <c r="G11" i="8"/>
  <c r="D18" i="8"/>
  <c r="D21" i="8"/>
  <c r="G13" i="8"/>
  <c r="G12" i="8"/>
  <c r="D19" i="8"/>
</calcChain>
</file>

<file path=xl/sharedStrings.xml><?xml version="1.0" encoding="utf-8"?>
<sst xmlns="http://schemas.openxmlformats.org/spreadsheetml/2006/main" count="388" uniqueCount="131">
  <si>
    <t>COD</t>
  </si>
  <si>
    <t>Empresa</t>
  </si>
  <si>
    <t>2011</t>
  </si>
  <si>
    <t>2012</t>
  </si>
  <si>
    <t>2013</t>
  </si>
  <si>
    <t>2014</t>
  </si>
  <si>
    <t>2015</t>
  </si>
  <si>
    <t>Nombres</t>
  </si>
  <si>
    <t>Apellidos</t>
  </si>
  <si>
    <t>Industry</t>
  </si>
  <si>
    <t>Byron</t>
  </si>
  <si>
    <t>Food</t>
  </si>
  <si>
    <t>Carlos</t>
  </si>
  <si>
    <t>Service</t>
  </si>
  <si>
    <t>Mariana</t>
  </si>
  <si>
    <t>Carolina</t>
  </si>
  <si>
    <t>Manu</t>
  </si>
  <si>
    <t>Pablo</t>
  </si>
  <si>
    <t>Cons</t>
  </si>
  <si>
    <t>Tech</t>
  </si>
  <si>
    <t>Mariela</t>
  </si>
  <si>
    <t xml:space="preserve">Jacqueline </t>
  </si>
  <si>
    <t>Edgar</t>
  </si>
  <si>
    <t>Ana Beatriz</t>
  </si>
  <si>
    <t>Wood</t>
  </si>
  <si>
    <t>Employees</t>
  </si>
  <si>
    <t>Women</t>
  </si>
  <si>
    <t>Revenue</t>
  </si>
  <si>
    <t>Profit</t>
  </si>
  <si>
    <t>Costs</t>
  </si>
  <si>
    <t>Refernce</t>
  </si>
  <si>
    <t>Exchange Rate</t>
  </si>
  <si>
    <t>Year</t>
  </si>
  <si>
    <t>Increase Revenue</t>
  </si>
  <si>
    <t>Changes in Costs</t>
  </si>
  <si>
    <t>Changes in Profit</t>
  </si>
  <si>
    <t>Souce</t>
  </si>
  <si>
    <t>BF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</si>
  <si>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</si>
  <si>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</si>
  <si>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</si>
  <si>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</si>
  <si>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</si>
  <si>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</si>
  <si>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</si>
  <si>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</si>
  <si>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</si>
  <si>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</si>
  <si>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</si>
  <si>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</si>
  <si>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</si>
  <si>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</si>
  <si>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</si>
  <si>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</si>
  <si>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</si>
  <si>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</si>
  <si>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</si>
  <si>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</si>
  <si>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Olga</t>
  </si>
  <si>
    <t>Luisa</t>
  </si>
  <si>
    <t>Jose</t>
  </si>
  <si>
    <t>Andrez</t>
  </si>
  <si>
    <t>Alejadro</t>
  </si>
  <si>
    <t>Juan</t>
  </si>
  <si>
    <t>Enrique</t>
  </si>
  <si>
    <t>Antonio</t>
  </si>
  <si>
    <t>Rafael</t>
  </si>
  <si>
    <t>Lester</t>
  </si>
  <si>
    <t>Mariano</t>
  </si>
  <si>
    <t>Rivera</t>
  </si>
  <si>
    <t>Barrientos</t>
  </si>
  <si>
    <t>Lopez</t>
  </si>
  <si>
    <t>Armas</t>
  </si>
  <si>
    <t>Polanco</t>
  </si>
  <si>
    <t>Corzo</t>
  </si>
  <si>
    <t>Ruiz</t>
  </si>
  <si>
    <t>Azmitia</t>
  </si>
  <si>
    <t>Perez</t>
  </si>
  <si>
    <t>Bran</t>
  </si>
  <si>
    <t>Ortiz</t>
  </si>
  <si>
    <t>Chang</t>
  </si>
  <si>
    <t>Castillo</t>
  </si>
  <si>
    <t>Franco</t>
  </si>
  <si>
    <t>Hernandez</t>
  </si>
  <si>
    <t>Gomez</t>
  </si>
  <si>
    <t>Gonzalez</t>
  </si>
  <si>
    <t>Orellana</t>
  </si>
  <si>
    <t>Diaz</t>
  </si>
  <si>
    <t>Cifuentes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</si>
  <si>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</si>
  <si>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</si>
  <si>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</si>
  <si>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</si>
  <si>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</si>
  <si>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</si>
  <si>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</si>
  <si>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</si>
  <si>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</si>
  <si>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</si>
  <si>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</si>
  <si>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</si>
  <si>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</si>
  <si>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</si>
  <si>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</si>
  <si>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</si>
  <si>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</si>
  <si>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</si>
  <si>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</si>
  <si>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</si>
  <si>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EMPLEADOS EN LA EMPRESA</t>
  </si>
  <si>
    <t>EMPLEADAS MUJERES EN LA EMPRESA</t>
  </si>
  <si>
    <t>Grafica 1</t>
  </si>
  <si>
    <t>Agregue una linea de tendencia</t>
  </si>
  <si>
    <t>Instrucciones:</t>
  </si>
  <si>
    <t>Esta hoja de excel le permite hacer una analisis por empresa, en la celda B1 usted puede ir modificando la celda de acuerdo a la empresa que esta evaluando</t>
  </si>
  <si>
    <t>Grafica 2</t>
  </si>
  <si>
    <t>Grafique una comparacion de los ingresos, Costos y Utilidades.  Durante los años 2011 a 2015</t>
  </si>
  <si>
    <t>Grafique los empleados de la empresa durante los años 2011-2015 agregando el porcentaje que corresponde a mujeres</t>
  </si>
  <si>
    <t>Pregunta 1</t>
  </si>
  <si>
    <t xml:space="preserve">si usted tuviera la oportunidad de invertir en una de estas empresas en cual lo haria y porque? </t>
  </si>
  <si>
    <t>Pregunta 2</t>
  </si>
  <si>
    <t>Si usted fuera una ONG que apoya a las empresas que contratan mujeres, seleccione dos empresas que apoyaría e indique porque?</t>
  </si>
  <si>
    <t>Men</t>
  </si>
  <si>
    <t>* Puede ver unos ejemplos de como podria quedar las graficas en la ultima hoja de este libro. No tiene que quedar iguales es una referencia</t>
  </si>
  <si>
    <t>Realize la grafica lo mas completa y clara que considere puede dar una buena idea de la tendencia de la empresa, coloquela en la celda K1</t>
  </si>
  <si>
    <t>Realize la grafica lo mas completa y clara que considere puede dar una buena idea de la tendencia de la empresa, coloquela en la celda K10</t>
  </si>
  <si>
    <t>* Al observar los datos vera que hay empresas que no tienen todos los datos del 2011 al 2015, iniciaron ventas en 2012, 2013 o 2014, que debe agregar a las graficas para que esto no afecte la grafica</t>
  </si>
  <si>
    <t>Debera realizar 2 graficas, completar la tabla de Empleados  y un responder a las preguntas al final de estas instrucciones.</t>
  </si>
  <si>
    <t>Lookup</t>
  </si>
  <si>
    <t>Llene la tabla de empleados de acuerdo a la empresa que seleccione en la celda B1</t>
  </si>
  <si>
    <t>* Hint: siilar al llenado de la table de Revenue-Costs-Profit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</si>
</sst>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$&quot;#,##0.00_);[Red]\(&quot;$&quot;#,##0.00\)"/>
    <numFmt numFmtId="164" formatCode="_([$$-409]* #,##0.00_);_([$$-409]* \(#,##0.00\);_([$$-409]* &quot;-&quot;??_);_(@_)"/>
    <numFmt numFmtId="165" formatCode="_(&quot;$&quot;* #,##0.00_);_(&quot;$&quot;* \(\ #,##0.00\ \);_(&quot;$&quot;* &quot;-&quot;??_);_(\ @_ \)"/>
    <numFmt numFmtId="166" formatCode="[$Q-100A]#,##0.00"/>
    <numFmt numFmtId="167" formatCode="[$Q-100A]#,##0.00;[Red]\-[$Q-100A]#,##0.00"/>
  </numFmts>
  <fonts count="10" x14ac:knownFonts="1">
    <font>
      <sz val="11"/>
      <color theme="1"/>
      <name val="Calibri"/>
      <family val="2"/>
      <scheme val="minor"/>
    </font>
    <font>
      <sz val="10"/>
      <name val="Microsoft Sans Serif"/>
      <family val="2"/>
    </font>
    <font>
      <u/>
      <sz val="10"/>
      <color theme="10"/>
      <name val="Microsoft Sans Serif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Microsoft Sans Serif"/>
      <family val="2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2"/>
    <xf numFmtId="0" fontId="1" fillId="0" borderId="0" xfId="2" applyFill="1"/>
    <xf numFmtId="1" fontId="1" fillId="0" borderId="0" xfId="3" applyNumberFormat="1" applyFill="1" applyBorder="1" applyAlignment="1">
      <alignment horizontal="center" wrapText="1"/>
    </xf>
    <xf numFmtId="0" fontId="1" fillId="0" borderId="0" xfId="2" applyFill="1" applyBorder="1"/>
    <xf numFmtId="0" fontId="1" fillId="0" borderId="0" xfId="2" applyBorder="1"/>
    <xf numFmtId="1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64" fontId="1" fillId="0" borderId="0" xfId="2" applyNumberFormat="1"/>
    <xf numFmtId="166" fontId="1" fillId="0" borderId="0" xfId="2" applyNumberFormat="1" applyFill="1" applyBorder="1"/>
    <xf numFmtId="166" fontId="1" fillId="0" borderId="0" xfId="1" applyNumberFormat="1" applyFont="1" applyFill="1" applyBorder="1"/>
    <xf numFmtId="166" fontId="1" fillId="0" borderId="0" xfId="2" applyNumberFormat="1" applyFill="1"/>
    <xf numFmtId="166" fontId="2" fillId="0" borderId="0" xfId="4" applyNumberFormat="1" applyFill="1" applyBorder="1"/>
    <xf numFmtId="0" fontId="1" fillId="0" borderId="0" xfId="2" applyFill="1" applyAlignment="1">
      <alignment horizontal="center"/>
    </xf>
    <xf numFmtId="0" fontId="1" fillId="0" borderId="0" xfId="2" applyAlignment="1">
      <alignment horizontal="center"/>
    </xf>
    <xf numFmtId="0" fontId="1" fillId="0" borderId="0" xfId="2" applyNumberFormat="1" applyFill="1" applyBorder="1" applyAlignment="1">
      <alignment horizontal="center"/>
    </xf>
    <xf numFmtId="0" fontId="1" fillId="0" borderId="0" xfId="2" applyNumberFormat="1" applyFill="1" applyAlignment="1">
      <alignment horizontal="center"/>
    </xf>
    <xf numFmtId="0" fontId="2" fillId="0" borderId="0" xfId="4" applyNumberFormat="1" applyFill="1" applyBorder="1" applyAlignment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164" fontId="1" fillId="0" borderId="0" xfId="0" applyNumberFormat="1" applyFont="1" applyFill="1" applyBorder="1" applyAlignment="1" applyProtection="1">
      <alignment horizontal="center"/>
    </xf>
    <xf numFmtId="164" fontId="1" fillId="0" borderId="0" xfId="2" applyNumberFormat="1" applyAlignment="1">
      <alignment horizontal="center"/>
    </xf>
    <xf numFmtId="0" fontId="1" fillId="2" borderId="0" xfId="2" applyNumberFormat="1" applyFill="1" applyBorder="1" applyAlignment="1">
      <alignment horizontal="center"/>
    </xf>
    <xf numFmtId="166" fontId="1" fillId="2" borderId="0" xfId="2" applyNumberFormat="1" applyFill="1" applyBorder="1"/>
    <xf numFmtId="0" fontId="4" fillId="0" borderId="3" xfId="0" applyFont="1" applyBorder="1"/>
    <xf numFmtId="0" fontId="5" fillId="0" borderId="0" xfId="0" applyFont="1" applyFill="1"/>
    <xf numFmtId="0" fontId="5" fillId="0" borderId="2" xfId="0" applyFont="1" applyFill="1" applyBorder="1"/>
    <xf numFmtId="9" fontId="0" fillId="0" borderId="0" xfId="5" applyFont="1"/>
    <xf numFmtId="0" fontId="5" fillId="0" borderId="0" xfId="0" applyFont="1" applyFill="1" applyAlignment="1">
      <alignment wrapText="1"/>
    </xf>
    <xf numFmtId="0" fontId="6" fillId="0" borderId="0" xfId="0" applyFont="1" applyAlignment="1">
      <alignment horizontal="left"/>
    </xf>
    <xf numFmtId="9" fontId="0" fillId="0" borderId="0" xfId="0" applyNumberFormat="1"/>
    <xf numFmtId="9" fontId="0" fillId="0" borderId="0" xfId="0" applyNumberFormat="1" applyFill="1"/>
    <xf numFmtId="9" fontId="0" fillId="0" borderId="0" xfId="5" applyFont="1" applyFill="1"/>
    <xf numFmtId="0" fontId="0" fillId="0" borderId="0" xfId="0" applyFill="1" applyAlignment="1">
      <alignment horizontal="left"/>
    </xf>
    <xf numFmtId="167" fontId="0" fillId="0" borderId="1" xfId="1" applyNumberFormat="1" applyFont="1" applyFill="1" applyBorder="1"/>
    <xf numFmtId="8" fontId="0" fillId="0" borderId="1" xfId="1" applyNumberFormat="1" applyFont="1" applyFill="1" applyBorder="1"/>
    <xf numFmtId="8" fontId="0" fillId="0" borderId="0" xfId="0" applyNumberFormat="1" applyFont="1" applyFill="1"/>
    <xf numFmtId="8" fontId="3" fillId="0" borderId="0" xfId="0" applyNumberFormat="1" applyFont="1" applyFill="1"/>
    <xf numFmtId="0" fontId="6" fillId="0" borderId="0" xfId="0" applyFont="1" applyAlignment="1">
      <alignment horizontal="right"/>
    </xf>
    <xf numFmtId="9" fontId="0" fillId="3" borderId="0" xfId="5" applyFont="1" applyFill="1"/>
    <xf numFmtId="167" fontId="1" fillId="0" borderId="0" xfId="2" applyNumberFormat="1" applyFill="1" applyBorder="1"/>
    <xf numFmtId="0" fontId="0" fillId="0" borderId="0" xfId="0" applyNumberFormat="1"/>
    <xf numFmtId="0" fontId="7" fillId="0" borderId="0" xfId="0" applyFont="1"/>
    <xf numFmtId="0" fontId="7" fillId="0" borderId="0" xfId="0" applyNumberFormat="1" applyFont="1"/>
    <xf numFmtId="0" fontId="9" fillId="0" borderId="0" xfId="0" applyFo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" fillId="0" borderId="0" xfId="2" applyFont="1" applyAlignment="1">
      <alignment horizontal="center"/>
    </xf>
  </cellXfs>
  <cellStyles count="6">
    <cellStyle name="Currency" xfId="1" builtinId="4"/>
    <cellStyle name="Hyperlink" xfId="4" builtinId="8"/>
    <cellStyle name="Normal" xfId="0" builtinId="0"/>
    <cellStyle name="Normal 2" xfId="2"/>
    <cellStyle name="Normal 3" xfId="3"/>
    <cellStyle name="Percent" xfId="5" builtinId="5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7" formatCode="[$Q-100A]#,##0.00;[Red]\-[$Q-100A]#,##0.00"/>
      <fill>
        <patternFill patternType="none">
          <fgColor indexed="64"/>
          <bgColor auto="1"/>
        </patternFill>
      </fill>
    </dxf>
    <dxf>
      <numFmt numFmtId="167" formatCode="[$Q-100A]#,##0.00;[Red]\-[$Q-100A]#,##0.00"/>
      <fill>
        <patternFill patternType="none">
          <fgColor indexed="64"/>
          <bgColor auto="1"/>
        </patternFill>
      </fill>
    </dxf>
    <dxf>
      <numFmt numFmtId="167" formatCode="[$Q-100A]#,##0.00;[Red]\-[$Q-100A]#,##0.00"/>
      <fill>
        <patternFill patternType="none">
          <fgColor indexed="64"/>
          <bgColor auto="1"/>
        </patternFill>
      </fill>
    </dxf>
    <dxf>
      <numFmt numFmtId="167" formatCode="[$Q-100A]#,##0.00;[Red]\-[$Q-100A]#,##0.00"/>
      <fill>
        <patternFill patternType="none">
          <fgColor indexed="64"/>
          <bgColor auto="1"/>
        </patternFill>
      </fill>
    </dxf>
    <dxf>
      <numFmt numFmtId="167" formatCode="[$Q-100A]#,##0.00;[Red]\-[$Q-100A]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numFmt numFmtId="166" formatCode="[$Q-100A]#,##0.00"/>
      <fill>
        <patternFill patternType="none">
          <fgColor indexed="64"/>
          <bgColor auto="1"/>
        </patternFill>
      </fill>
    </dxf>
    <dxf>
      <numFmt numFmtId="166" formatCode="[$Q-100A]#,##0.00"/>
      <fill>
        <patternFill patternType="none">
          <fgColor indexed="64"/>
          <bgColor auto="1"/>
        </patternFill>
      </fill>
    </dxf>
    <dxf>
      <numFmt numFmtId="166" formatCode="[$Q-100A]#,##0.00"/>
      <fill>
        <patternFill patternType="none">
          <fgColor indexed="64"/>
          <bgColor auto="1"/>
        </patternFill>
      </fill>
    </dxf>
    <dxf>
      <numFmt numFmtId="166" formatCode="[$Q-100A]#,##0.00"/>
      <fill>
        <patternFill patternType="none">
          <fgColor indexed="64"/>
          <bgColor auto="1"/>
        </patternFill>
      </fill>
    </dxf>
    <dxf>
      <numFmt numFmtId="166" formatCode="[$Q-100A]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numFmt numFmtId="166" formatCode="[$Q-100A]#,##0.00"/>
      <fill>
        <patternFill patternType="none">
          <fgColor indexed="64"/>
          <bgColor auto="1"/>
        </patternFill>
      </fill>
    </dxf>
    <dxf>
      <numFmt numFmtId="166" formatCode="[$Q-100A]#,##0.00"/>
      <fill>
        <patternFill patternType="none">
          <fgColor indexed="64"/>
          <bgColor auto="1"/>
        </patternFill>
      </fill>
    </dxf>
    <dxf>
      <numFmt numFmtId="166" formatCode="[$Q-100A]#,##0.00"/>
      <fill>
        <patternFill patternType="none">
          <fgColor indexed="64"/>
          <bgColor auto="1"/>
        </patternFill>
      </fill>
    </dxf>
    <dxf>
      <numFmt numFmtId="166" formatCode="[$Q-100A]#,##0.00"/>
      <fill>
        <patternFill patternType="none">
          <fgColor indexed="64"/>
          <bgColor auto="1"/>
        </patternFill>
      </fill>
    </dxf>
    <dxf>
      <numFmt numFmtId="166" formatCode="[$Q-100A]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Q-100A]#,##0.00;[Red]\-[$Q-100A]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Q-100A]#,##0.00;[Red]\-[$Q-100A]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Q-100A]#,##0.00;[Red]\-[$Q-100A]#,##0.00"/>
      <fill>
        <patternFill patternType="none">
          <fgColor theme="5" tint="0.79998168889431442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2" formatCode="&quot;$&quot;#,##0.00_);[Red]\(&quot;$&quot;#,##0.00\)"/>
      <fill>
        <patternFill patternType="none">
          <fgColor theme="5" tint="0.79998168889431442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2" formatCode="&quot;$&quot;#,##0.00_);[Red]\(&quot;$&quot;#,##0.00\)"/>
      <fill>
        <patternFill patternType="none"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2" formatCode="&quot;$&quot;#,##0.00_);[Red]\(&quot;$&quot;#,##0.00\)"/>
      <fill>
        <patternFill patternType="none">
          <fgColor theme="5" tint="0.79998168889431442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Revenue</a:t>
            </a:r>
            <a:r>
              <a:rPr lang="en-US" sz="1800" b="1" baseline="0"/>
              <a:t> - Costs - Profit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FR'!$C$8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'Summary FR'!$B$9:$B$13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xVal>
          <c:yVal>
            <c:numRef>
              <c:f>'Summary FR'!$C$9:$C$13</c:f>
              <c:numCache>
                <c:formatCode>"$"#,##0.00_);[Red]\("$"#,##0.00\)</c:formatCode>
                <c:ptCount val="5"/>
                <c:pt idx="0">
                  <c:v>531195.54342105263</c:v>
                </c:pt>
                <c:pt idx="1">
                  <c:v>429382.32763157896</c:v>
                </c:pt>
                <c:pt idx="2">
                  <c:v>456825.24605263164</c:v>
                </c:pt>
                <c:pt idx="3">
                  <c:v>540065.99736842106</c:v>
                </c:pt>
                <c:pt idx="4">
                  <c:v>563184.05526315793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4-4468-9D4A-E61E7E709D73}"/>
            </c:ext>
          </c:extLst>
        </c:ser>
        <c:ser>
          <c:idx val="1"/>
          <c:order val="1"/>
          <c:tx>
            <c:strRef>
              <c:f>'Summary FR'!$D$8</c:f>
              <c:strCache>
                <c:ptCount val="1"/>
                <c:pt idx="0">
                  <c:v>Costs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'Summary FR'!$B$9:$B$13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xVal>
          <c:yVal>
            <c:numRef>
              <c:f>'Summary FR'!$D$9:$D$13</c:f>
              <c:numCache>
                <c:formatCode>"$"#,##0.00_);[Red]\("$"#,##0.00\)</c:formatCode>
                <c:ptCount val="5"/>
                <c:pt idx="0">
                  <c:v>430977.83684210526</c:v>
                </c:pt>
                <c:pt idx="1">
                  <c:v>353314.29473684204</c:v>
                </c:pt>
                <c:pt idx="2">
                  <c:v>378856.79210526322</c:v>
                </c:pt>
                <c:pt idx="3">
                  <c:v>467584.43684210529</c:v>
                </c:pt>
                <c:pt idx="4">
                  <c:v>436067.13947368419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34-4468-9D4A-E61E7E709D73}"/>
            </c:ext>
          </c:extLst>
        </c:ser>
        <c:ser>
          <c:idx val="2"/>
          <c:order val="2"/>
          <c:tx>
            <c:strRef>
              <c:f>'Summary FR'!$E$8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'Summary FR'!$B$9:$B$13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xVal>
          <c:yVal>
            <c:numRef>
              <c:f>'Summary FR'!$E$9:$E$13</c:f>
              <c:numCache>
                <c:formatCode>"$"#,##0.00_);[Red]\("$"#,##0.00\)</c:formatCode>
                <c:ptCount val="5"/>
                <c:pt idx="0">
                  <c:v>100217.70657894736</c:v>
                </c:pt>
                <c:pt idx="1">
                  <c:v>76068.032894736883</c:v>
                </c:pt>
                <c:pt idx="2">
                  <c:v>77968.453947368427</c:v>
                </c:pt>
                <c:pt idx="3">
                  <c:v>72481.560526315778</c:v>
                </c:pt>
                <c:pt idx="4">
                  <c:v>127116.91578947376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34-4468-9D4A-E61E7E709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877056"/>
        <c:axId val="387866176"/>
      </c:scatterChart>
      <c:valAx>
        <c:axId val="38787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66176"/>
        <c:crosses val="autoZero"/>
        <c:crossBetween val="midCat"/>
      </c:valAx>
      <c:valAx>
        <c:axId val="3878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7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 Women and Men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Empresas!$C$26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Empresas!$B$27:$B$31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Empresas!$C$27:$C$31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6-4725-9AC8-AD1940785FC4}"/>
            </c:ext>
          </c:extLst>
        </c:ser>
        <c:ser>
          <c:idx val="1"/>
          <c:order val="1"/>
          <c:tx>
            <c:strRef>
              <c:f>Empresas!$D$26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Empresas!$B$27:$B$31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Empresas!$D$27:$D$31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6-4725-9AC8-AD1940785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865632"/>
        <c:axId val="389175312"/>
      </c:areaChart>
      <c:catAx>
        <c:axId val="38786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175312"/>
        <c:crosses val="autoZero"/>
        <c:auto val="1"/>
        <c:lblAlgn val="ctr"/>
        <c:lblOffset val="100"/>
        <c:noMultiLvlLbl val="0"/>
      </c:catAx>
      <c:valAx>
        <c:axId val="3891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65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Women - 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Empresas!$C$26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Empresas!$B$27:$B$31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Empresas!$C$27:$C$31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7-49B4-933B-8224F98B5CCC}"/>
            </c:ext>
          </c:extLst>
        </c:ser>
        <c:ser>
          <c:idx val="1"/>
          <c:order val="1"/>
          <c:tx>
            <c:strRef>
              <c:f>Empresas!$D$26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Empresas!$B$27:$B$31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Empresas!$D$27:$D$31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7-49B4-933B-8224F98B5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9182928"/>
        <c:axId val="389168784"/>
      </c:barChart>
      <c:catAx>
        <c:axId val="38918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168784"/>
        <c:crosses val="autoZero"/>
        <c:auto val="1"/>
        <c:lblAlgn val="ctr"/>
        <c:lblOffset val="100"/>
        <c:noMultiLvlLbl val="0"/>
      </c:catAx>
      <c:valAx>
        <c:axId val="3891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18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0</xdr:colOff>
      <xdr:row>31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47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9" name="Tabla9" displayName="Tabla9" ref="B3:G6" totalsRowShown="0">
  <autoFilter ref="B3:G6"/>
  <tableColumns count="6">
    <tableColumn id="1" name="Refernce"/>
    <tableColumn id="2" name="2011" dataDxfId="97"/>
    <tableColumn id="3" name="2012" dataDxfId="96"/>
    <tableColumn id="4" name="2013" dataDxfId="95"/>
    <tableColumn id="5" name="2014" dataDxfId="94"/>
    <tableColumn id="6" name="2015" dataDxfId="93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id="11" name="Tabla11" displayName="Tabla11" ref="B8:H13" totalsRowShown="0" headerRowDxfId="92">
  <autoFilter ref="B8:H13"/>
  <tableColumns count="7">
    <tableColumn id="1" name="Year" dataDxfId="91"/>
    <tableColumn id="2" name="Revenue" dataDxfId="90"/>
    <tableColumn id="3" name="Costs" dataDxfId="89">
      <calculatedColumnFormula>C9-E9</calculatedColumnFormula>
    </tableColumn>
    <tableColumn id="4" name="Profit" dataDxfId="88"/>
    <tableColumn id="5" name="Increase Revenue" dataDxfId="87">
      <calculatedColumnFormula>(Tabla11[[#This Row],[Revenue]]-C8)/C8</calculatedColumnFormula>
    </tableColumn>
    <tableColumn id="6" name="Changes in Costs" dataDxfId="86">
      <calculatedColumnFormula>IF(D8=0,0,(Tabla11[[#This Row],[Revenue]]-D8)/D8)</calculatedColumnFormula>
    </tableColumn>
    <tableColumn id="7" name="Changes in Profit" dataDxfId="85">
      <calculatedColumnFormula>IF(E8=0,0,(Tabla11[[#This Row],[Profit]]-E8)/E8)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12" name="Tabla1113" displayName="Tabla1113" ref="B16:E21" totalsRowShown="0" headerRowDxfId="84" dataDxfId="83">
  <autoFilter ref="B16:E21"/>
  <tableColumns count="4">
    <tableColumn id="1" name="Year" dataDxfId="82"/>
    <tableColumn id="2" name="Revenue" dataDxfId="81">
      <calculatedColumnFormula>#REF!*$H$1</calculatedColumnFormula>
    </tableColumn>
    <tableColumn id="3" name="Costs" dataDxfId="80">
      <calculatedColumnFormula>#REF!*$H$1</calculatedColumnFormula>
    </tableColumn>
    <tableColumn id="4" name="Profit" dataDxfId="79">
      <calculatedColumnFormula>#REF!*$H$1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2" name="Tabla3810112417263" displayName="Tabla3810112417263" ref="A2:G23" totalsRowCount="1" headerRowCellStyle="Normal 2" dataCellStyle="Normal 2">
  <autoFilter ref="A2:G22"/>
  <sortState ref="A2:N21">
    <sortCondition ref="B2:B21"/>
  </sortState>
  <tableColumns count="7">
    <tableColumn id="24" name="COD" dataDxfId="78" totalsRowDxfId="13" dataCellStyle="Normal 3"/>
    <tableColumn id="3" name="Empresa" dataDxfId="77" totalsRowDxfId="12" dataCellStyle="Normal 2"/>
    <tableColumn id="1" name="2011" dataDxfId="76" totalsRowDxfId="11" dataCellStyle="Normal 2"/>
    <tableColumn id="2" name="2012" dataDxfId="75" totalsRowDxfId="10" dataCellStyle="Normal 2"/>
    <tableColumn id="9" name="2013" dataDxfId="74" totalsRowDxfId="9" dataCellStyle="Normal 2"/>
    <tableColumn id="10" name="2014" dataDxfId="73" totalsRowDxfId="8" dataCellStyle="Normal 2"/>
    <tableColumn id="29" name="2015" dataDxfId="72" totalsRowDxfId="7" dataCellStyle="Normal 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3" name="Tabla38101124172634" displayName="Tabla38101124172634" ref="A2:G23" totalsRowCount="1" headerRowCellStyle="Normal 2" dataCellStyle="Normal 2">
  <autoFilter ref="A2:G22"/>
  <sortState ref="A2:N21">
    <sortCondition ref="B2:B21"/>
  </sortState>
  <tableColumns count="7">
    <tableColumn id="24" name="COD" dataDxfId="71" totalsRowDxfId="6" dataCellStyle="Normal 3"/>
    <tableColumn id="3" name="Empresa" dataDxfId="70" totalsRowDxfId="5" dataCellStyle="Normal 2"/>
    <tableColumn id="1" name="2011" dataDxfId="69" totalsRowDxfId="4" dataCellStyle="Normal 2"/>
    <tableColumn id="2" name="2012" dataDxfId="68" totalsRowDxfId="3" dataCellStyle="Normal 2"/>
    <tableColumn id="9" name="2013" dataDxfId="67" totalsRowDxfId="2" dataCellStyle="Normal 2"/>
    <tableColumn id="10" name="2014" dataDxfId="66" totalsRowDxfId="1" dataCellStyle="Normal 2"/>
    <tableColumn id="29" name="2015" dataDxfId="65" totalsRowDxfId="0" dataCellStyle="Normal 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" name="Tabla381011241726" displayName="Tabla381011241726" ref="A1:G22" totalsRowCount="1" headerRowCellStyle="Normal 2" dataCellStyle="Normal 2">
  <autoFilter ref="A1:G21"/>
  <sortState ref="A2:N21">
    <sortCondition ref="B2:B21"/>
  </sortState>
  <tableColumns count="7">
    <tableColumn id="24" name="COD" dataDxfId="64" totalsRowDxfId="20" dataCellStyle="Normal 3"/>
    <tableColumn id="3" name="Empresa" dataDxfId="63" totalsRowDxfId="19" dataCellStyle="Normal 2"/>
    <tableColumn id="1" name="2011" dataDxfId="62" totalsRowDxfId="18" dataCellStyle="Normal 2"/>
    <tableColumn id="2" name="2012" dataDxfId="61" totalsRowDxfId="17" dataCellStyle="Normal 2"/>
    <tableColumn id="9" name="2013" dataDxfId="60" totalsRowDxfId="16" dataCellStyle="Normal 2"/>
    <tableColumn id="10" name="2014" dataDxfId="59" totalsRowDxfId="15" dataCellStyle="Normal 2"/>
    <tableColumn id="29" name="2015" dataDxfId="58" totalsRowDxfId="14" dataCellStyle="Normal 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5" name="Tabla38101124172656" displayName="Tabla38101124172656" ref="A1:G22" totalsRowCount="1" headerRowCellStyle="Normal 2" dataCellStyle="Normal 2">
  <autoFilter ref="A1:G21"/>
  <sortState ref="A2:N21">
    <sortCondition ref="B2:B21"/>
  </sortState>
  <tableColumns count="7">
    <tableColumn id="24" name="COD" dataDxfId="57" totalsRowDxfId="27" dataCellStyle="Normal 3"/>
    <tableColumn id="3" name="Empresa" dataDxfId="56" totalsRowDxfId="26" dataCellStyle="Normal 2"/>
    <tableColumn id="1" name="2011" dataDxfId="55" totalsRowDxfId="25" dataCellStyle="Normal 2"/>
    <tableColumn id="2" name="2012" dataDxfId="54" totalsRowDxfId="24" dataCellStyle="Normal 2"/>
    <tableColumn id="9" name="2013" dataDxfId="53" totalsRowDxfId="23" dataCellStyle="Normal 2"/>
    <tableColumn id="10" name="2014" dataDxfId="52" totalsRowDxfId="22" dataCellStyle="Normal 2"/>
    <tableColumn id="29" name="2015" dataDxfId="51" totalsRowDxfId="21" dataCellStyle="Normal 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4" name="Tabla3810112417265" displayName="Tabla3810112417265" ref="A1:G22" totalsRowCount="1" headerRowCellStyle="Normal 2" dataCellStyle="Normal 2">
  <autoFilter ref="A1:G21"/>
  <sortState ref="A2:N21">
    <sortCondition ref="B2:B21"/>
  </sortState>
  <tableColumns count="7">
    <tableColumn id="24" name="COD" dataDxfId="50" totalsRowDxfId="34" dataCellStyle="Normal 3"/>
    <tableColumn id="3" name="Empresa" dataDxfId="49" totalsRowDxfId="33" dataCellStyle="Normal 2"/>
    <tableColumn id="1" name="2011" dataDxfId="48" totalsRowDxfId="32" dataCellStyle="Normal 2">
      <calculatedColumnFormula>Tabla381011241726[[#This Row],[2011]]-Tabla38101124172656[[#This Row],[2011]]</calculatedColumnFormula>
    </tableColumn>
    <tableColumn id="2" name="2012" dataDxfId="47" totalsRowDxfId="31" dataCellStyle="Normal 2">
      <calculatedColumnFormula>Tabla381011241726[[#This Row],[2012]]-Tabla38101124172656[[#This Row],[2012]]</calculatedColumnFormula>
    </tableColumn>
    <tableColumn id="9" name="2013" dataDxfId="46" totalsRowDxfId="30" dataCellStyle="Normal 2">
      <calculatedColumnFormula>Tabla381011241726[[#This Row],[2013]]-Tabla38101124172656[[#This Row],[2013]]</calculatedColumnFormula>
    </tableColumn>
    <tableColumn id="10" name="2014" dataDxfId="45" totalsRowDxfId="29" dataCellStyle="Normal 2">
      <calculatedColumnFormula>Tabla381011241726[[#This Row],[2014]]-Tabla38101124172656[[#This Row],[2014]]</calculatedColumnFormula>
    </tableColumn>
    <tableColumn id="29" name="2015" dataDxfId="44" totalsRowDxfId="28" dataCellStyle="Normal 2">
      <calculatedColumnFormula>Tabla381011241726[[#This Row],[2015]]-Tabla38101124172656[[#This Row],[2015]]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8" name="Tabla38101124172" displayName="Tabla38101124172" ref="A1:E22" totalsRowCount="1" headerRowCellStyle="Normal 2" dataCellStyle="Normal 2">
  <autoFilter ref="A1:E21"/>
  <sortState ref="A2:P21">
    <sortCondition ref="D2:D21"/>
  </sortState>
  <tableColumns count="5">
    <tableColumn id="24" name="COD" dataDxfId="43" totalsRowDxfId="42" dataCellStyle="Normal 2"/>
    <tableColumn id="7" name="Nombres" dataDxfId="41" totalsRowDxfId="40" dataCellStyle="Normal 2"/>
    <tableColumn id="8" name="Apellidos" dataDxfId="39" totalsRowDxfId="38" dataCellStyle="Normal 2"/>
    <tableColumn id="3" name="Empresa" dataDxfId="37" totalsRowDxfId="36" dataCellStyle="Normal 2"/>
    <tableColumn id="28" name="Industry" totalsRowDxfId="35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showGridLines="0" tabSelected="1" zoomScale="75" zoomScaleNormal="75" workbookViewId="0">
      <selection activeCell="B30" sqref="B30"/>
    </sheetView>
  </sheetViews>
  <sheetFormatPr defaultColWidth="11.5546875" defaultRowHeight="14.4" x14ac:dyDescent="0.3"/>
  <cols>
    <col min="2" max="2" width="12" bestFit="1" customWidth="1"/>
    <col min="3" max="3" width="15.6640625" bestFit="1" customWidth="1"/>
    <col min="4" max="4" width="15.109375" customWidth="1"/>
    <col min="5" max="5" width="15.6640625" bestFit="1" customWidth="1"/>
    <col min="6" max="6" width="11.5546875" bestFit="1" customWidth="1"/>
    <col min="7" max="7" width="12.5546875" bestFit="1" customWidth="1"/>
    <col min="8" max="8" width="11.5546875" bestFit="1" customWidth="1"/>
  </cols>
  <sheetData>
    <row r="1" spans="1:15" ht="15" thickBot="1" x14ac:dyDescent="0.35">
      <c r="A1" s="24" t="s">
        <v>1</v>
      </c>
      <c r="B1" s="45" t="s">
        <v>89</v>
      </c>
      <c r="C1" s="46"/>
      <c r="F1" s="38" t="s">
        <v>31</v>
      </c>
      <c r="G1" s="38"/>
      <c r="H1" s="29">
        <v>7.6</v>
      </c>
    </row>
    <row r="3" spans="1:15" x14ac:dyDescent="0.3">
      <c r="B3" t="s">
        <v>30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15" x14ac:dyDescent="0.3">
      <c r="B4" t="s">
        <v>25</v>
      </c>
      <c r="D4" s="41"/>
      <c r="E4" s="41"/>
      <c r="F4" s="41"/>
      <c r="G4" s="41"/>
      <c r="H4" s="41"/>
      <c r="N4" s="41"/>
      <c r="O4" s="41"/>
    </row>
    <row r="5" spans="1:15" x14ac:dyDescent="0.3">
      <c r="B5" t="s">
        <v>26</v>
      </c>
      <c r="D5" s="41"/>
      <c r="E5" s="41"/>
      <c r="F5" s="41"/>
      <c r="G5" s="41"/>
      <c r="H5" s="41"/>
      <c r="N5" s="41"/>
      <c r="O5" s="41"/>
    </row>
    <row r="6" spans="1:15" x14ac:dyDescent="0.3">
      <c r="B6" t="s">
        <v>122</v>
      </c>
      <c r="C6" s="41"/>
      <c r="D6" s="41"/>
      <c r="E6" s="41"/>
      <c r="F6" s="41"/>
      <c r="G6" s="41"/>
      <c r="N6" s="41"/>
      <c r="O6" s="41"/>
    </row>
    <row r="7" spans="1:15" ht="125.25" customHeight="1" x14ac:dyDescent="0.3"/>
    <row r="8" spans="1:15" ht="28.8" x14ac:dyDescent="0.3">
      <c r="B8" s="25" t="s">
        <v>32</v>
      </c>
      <c r="C8" s="26" t="s">
        <v>27</v>
      </c>
      <c r="D8" s="26" t="s">
        <v>29</v>
      </c>
      <c r="E8" s="26" t="s">
        <v>28</v>
      </c>
      <c r="F8" s="28" t="s">
        <v>33</v>
      </c>
      <c r="G8" s="28" t="s">
        <v>34</v>
      </c>
      <c r="H8" s="28" t="s">
        <v>35</v>
      </c>
    </row>
    <row r="9" spans="1:15" x14ac:dyDescent="0.3">
      <c r="B9" s="33">
        <v>2011</v>
      </c>
      <c r="C9" s="36">
        <f>LOOKUP($B$1,Tabla381011241726[Empresa],Tabla381011241726[2011])/H1</f>
        <v>531195.54342105263</v>
      </c>
      <c r="D9" s="36">
        <f>C9-E9</f>
        <v>430977.83684210526</v>
      </c>
      <c r="E9" s="37">
        <f>LOOKUP($B$1,Tabla3810112417265[Empresa],Tabla3810112417265[2011])/$H$1</f>
        <v>100217.70657894736</v>
      </c>
      <c r="F9" s="39"/>
      <c r="G9" s="39"/>
      <c r="H9" s="39"/>
    </row>
    <row r="10" spans="1:15" x14ac:dyDescent="0.3">
      <c r="B10" s="33">
        <v>2012</v>
      </c>
      <c r="C10" s="35">
        <f>LOOKUP($B$1,Tabla381011241726[Empresa],Tabla381011241726[2012])/H1</f>
        <v>429382.32763157896</v>
      </c>
      <c r="D10" s="35">
        <f>C10-E10</f>
        <v>353314.29473684204</v>
      </c>
      <c r="E10" s="35">
        <f>LOOKUP($B$1,Tabla3810112417265[Empresa],Tabla3810112417265[2012])/$H$1</f>
        <v>76068.032894736883</v>
      </c>
      <c r="F10" s="27">
        <f>IF(C9=0,0,(Tabla11[[#This Row],[Revenue]]-C9)/C9)</f>
        <v>-0.19166805341356438</v>
      </c>
      <c r="G10" s="27">
        <f>IF(D9=0,0,(Tabla11[[#This Row],[Costs]]-D9)/D9)</f>
        <v>-0.18020309971001208</v>
      </c>
      <c r="H10" s="30">
        <f>IF(E9=0,0,(Tabla11[[#This Row],[Profit]]-E9)/E9)</f>
        <v>-0.24097212467326182</v>
      </c>
    </row>
    <row r="11" spans="1:15" x14ac:dyDescent="0.3">
      <c r="B11" s="33">
        <v>2013</v>
      </c>
      <c r="C11" s="35">
        <f>LOOKUP($B$1,Tabla381011241726[Empresa],Tabla381011241726[2013])/H1</f>
        <v>456825.24605263164</v>
      </c>
      <c r="D11" s="35">
        <f>C11-E11</f>
        <v>378856.79210526322</v>
      </c>
      <c r="E11" s="35">
        <f>LOOKUP($B$1,Tabla3810112417265[Empresa],Tabla3810112417265[2013])/$H$1</f>
        <v>77968.453947368427</v>
      </c>
      <c r="F11" s="27">
        <f>IF(C10=0,0,(Tabla11[[#This Row],[Revenue]]-C10)/C10)</f>
        <v>6.3912547524777069E-2</v>
      </c>
      <c r="G11" s="27">
        <f>IF(D10=0,0,(Tabla11[[#This Row],[Costs]]-D10)/D10)</f>
        <v>7.2293982295411827E-2</v>
      </c>
      <c r="H11" s="30">
        <f>IF(E10=0,0,(Tabla11[[#This Row],[Profit]]-E10)/E10)</f>
        <v>2.4983175984862795E-2</v>
      </c>
    </row>
    <row r="12" spans="1:15" x14ac:dyDescent="0.3">
      <c r="B12" s="33">
        <v>2014</v>
      </c>
      <c r="C12" s="35">
        <f>LOOKUP($B$1,Tabla381011241726[Empresa],Tabla381011241726[2014])/H1</f>
        <v>540065.99736842106</v>
      </c>
      <c r="D12" s="35">
        <f>C12-E12</f>
        <v>467584.43684210529</v>
      </c>
      <c r="E12" s="35">
        <f>LOOKUP($B$1,Tabla3810112417265[Empresa],Tabla3810112417265[2014])/$H$1</f>
        <v>72481.560526315778</v>
      </c>
      <c r="F12" s="27">
        <f>IF(C11=0,0,(Tabla11[[#This Row],[Revenue]]-C11)/C11)</f>
        <v>0.18221574231078966</v>
      </c>
      <c r="G12" s="27">
        <f>IF(D11=0,0,(Tabla11[[#This Row],[Costs]]-D11)/D11)</f>
        <v>0.23419837412388161</v>
      </c>
      <c r="H12" s="30">
        <f>IF(E11=0,0,(Tabla11[[#This Row],[Profit]]-E11)/E11)</f>
        <v>-7.0373248964978888E-2</v>
      </c>
    </row>
    <row r="13" spans="1:15" x14ac:dyDescent="0.3">
      <c r="B13" s="33">
        <v>2015</v>
      </c>
      <c r="C13" s="35">
        <f>LOOKUP($B$1,Tabla381011241726[Empresa],Tabla381011241726[2015])/H1</f>
        <v>563184.05526315793</v>
      </c>
      <c r="D13" s="35">
        <f>C13-E13</f>
        <v>436067.13947368419</v>
      </c>
      <c r="E13" s="35">
        <f>LOOKUP($B$1,Tabla3810112417265[Empresa],Tabla3810112417265[2015])/$H$1</f>
        <v>127116.91578947376</v>
      </c>
      <c r="F13" s="27">
        <f>IF(C12=0,0,(Tabla11[[#This Row],[Revenue]]-C12)/C12)</f>
        <v>4.2805986689375394E-2</v>
      </c>
      <c r="G13" s="27">
        <f>IF(D12=0,0,(Tabla11[[#This Row],[Costs]]-D12)/D12)</f>
        <v>-6.7404504694975373E-2</v>
      </c>
      <c r="H13" s="30">
        <f>IF(E12=0,0,(Tabla11[[#This Row],[Profit]]-E12)/E12)</f>
        <v>0.75378282236792626</v>
      </c>
    </row>
    <row r="16" spans="1:15" x14ac:dyDescent="0.3">
      <c r="B16" s="25" t="s">
        <v>32</v>
      </c>
      <c r="C16" s="26" t="s">
        <v>27</v>
      </c>
      <c r="D16" s="26" t="s">
        <v>29</v>
      </c>
      <c r="E16" s="26" t="s">
        <v>28</v>
      </c>
      <c r="F16" s="28"/>
      <c r="G16" s="28"/>
      <c r="H16" s="28"/>
    </row>
    <row r="17" spans="2:8" x14ac:dyDescent="0.3">
      <c r="B17" s="33">
        <v>2011</v>
      </c>
      <c r="C17" s="34">
        <f t="shared" ref="C17:E21" si="0">C9*$H$1</f>
        <v>4037086.13</v>
      </c>
      <c r="D17" s="34">
        <f t="shared" si="0"/>
        <v>3275431.5599999996</v>
      </c>
      <c r="E17" s="34">
        <f t="shared" si="0"/>
        <v>761654.56999999983</v>
      </c>
      <c r="F17" s="32"/>
      <c r="G17" s="32"/>
      <c r="H17" s="32"/>
    </row>
    <row r="18" spans="2:8" x14ac:dyDescent="0.3">
      <c r="B18" s="33">
        <v>2012</v>
      </c>
      <c r="C18" s="34">
        <f t="shared" si="0"/>
        <v>3263305.69</v>
      </c>
      <c r="D18" s="34">
        <f t="shared" si="0"/>
        <v>2685188.6399999992</v>
      </c>
      <c r="E18" s="34">
        <f t="shared" si="0"/>
        <v>578117.05000000028</v>
      </c>
      <c r="F18" s="32"/>
      <c r="G18" s="32"/>
      <c r="H18" s="31"/>
    </row>
    <row r="19" spans="2:8" x14ac:dyDescent="0.3">
      <c r="B19" s="33">
        <v>2013</v>
      </c>
      <c r="C19" s="34">
        <f t="shared" si="0"/>
        <v>3471871.87</v>
      </c>
      <c r="D19" s="34">
        <f t="shared" si="0"/>
        <v>2879311.62</v>
      </c>
      <c r="E19" s="34">
        <f t="shared" si="0"/>
        <v>592560.25</v>
      </c>
      <c r="F19" s="27"/>
      <c r="G19" s="27"/>
      <c r="H19" s="30"/>
    </row>
    <row r="20" spans="2:8" x14ac:dyDescent="0.3">
      <c r="B20" s="33">
        <v>2014</v>
      </c>
      <c r="C20" s="34">
        <f t="shared" si="0"/>
        <v>4104501.5799999996</v>
      </c>
      <c r="D20" s="34">
        <f t="shared" si="0"/>
        <v>3553641.72</v>
      </c>
      <c r="E20" s="34">
        <f t="shared" si="0"/>
        <v>550859.85999999987</v>
      </c>
      <c r="F20" s="27"/>
      <c r="G20" s="27"/>
      <c r="H20" s="30"/>
    </row>
    <row r="21" spans="2:8" x14ac:dyDescent="0.3">
      <c r="B21" s="33">
        <v>2015</v>
      </c>
      <c r="C21" s="34">
        <f t="shared" si="0"/>
        <v>4280198.82</v>
      </c>
      <c r="D21" s="34">
        <f t="shared" si="0"/>
        <v>3314110.26</v>
      </c>
      <c r="E21" s="34">
        <f t="shared" si="0"/>
        <v>966088.56000000052</v>
      </c>
      <c r="F21" s="27"/>
      <c r="G21" s="27"/>
      <c r="H21" s="30"/>
    </row>
    <row r="23" spans="2:8" x14ac:dyDescent="0.3">
      <c r="B23" s="44" t="s">
        <v>113</v>
      </c>
    </row>
    <row r="24" spans="2:8" x14ac:dyDescent="0.3">
      <c r="B24" t="s">
        <v>114</v>
      </c>
    </row>
    <row r="25" spans="2:8" x14ac:dyDescent="0.3">
      <c r="B25" t="s">
        <v>127</v>
      </c>
    </row>
    <row r="27" spans="2:8" x14ac:dyDescent="0.3">
      <c r="B27" t="s">
        <v>128</v>
      </c>
    </row>
    <row r="28" spans="2:8" x14ac:dyDescent="0.3">
      <c r="B28" t="s">
        <v>129</v>
      </c>
    </row>
    <row r="29" spans="2:8" x14ac:dyDescent="0.3">
      <c r="B29" t="s">
        <v>130</v>
      </c>
    </row>
    <row r="31" spans="2:8" x14ac:dyDescent="0.3">
      <c r="B31" t="s">
        <v>111</v>
      </c>
    </row>
    <row r="32" spans="2:8" x14ac:dyDescent="0.3">
      <c r="B32" t="s">
        <v>116</v>
      </c>
    </row>
    <row r="33" spans="2:2" x14ac:dyDescent="0.3">
      <c r="B33" t="s">
        <v>112</v>
      </c>
    </row>
    <row r="34" spans="2:2" x14ac:dyDescent="0.3">
      <c r="B34" t="s">
        <v>125</v>
      </c>
    </row>
    <row r="36" spans="2:2" x14ac:dyDescent="0.3">
      <c r="B36" t="s">
        <v>115</v>
      </c>
    </row>
    <row r="37" spans="2:2" x14ac:dyDescent="0.3">
      <c r="B37" t="s">
        <v>117</v>
      </c>
    </row>
    <row r="38" spans="2:2" x14ac:dyDescent="0.3">
      <c r="B38" t="s">
        <v>124</v>
      </c>
    </row>
    <row r="40" spans="2:2" x14ac:dyDescent="0.3">
      <c r="B40" t="s">
        <v>123</v>
      </c>
    </row>
    <row r="41" spans="2:2" x14ac:dyDescent="0.3">
      <c r="B41" t="s">
        <v>126</v>
      </c>
    </row>
    <row r="42" spans="2:2" x14ac:dyDescent="0.3">
      <c r="B42" t="s">
        <v>118</v>
      </c>
    </row>
    <row r="43" spans="2:2" x14ac:dyDescent="0.3">
      <c r="B43" t="s">
        <v>119</v>
      </c>
    </row>
    <row r="45" spans="2:2" x14ac:dyDescent="0.3">
      <c r="B45" t="s">
        <v>120</v>
      </c>
    </row>
    <row r="46" spans="2:2" x14ac:dyDescent="0.3">
      <c r="B46" t="s">
        <v>121</v>
      </c>
    </row>
  </sheetData>
  <mergeCells count="1">
    <mergeCell ref="B1:C1"/>
  </mergeCells>
  <pageMargins left="0.7" right="0.7" top="0.75" bottom="0.75" header="0.3" footer="0.3"/>
  <pageSetup scale="70" orientation="portrait" horizontalDpi="0" verticalDpi="0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Empresas!$D$2:$D$21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showGridLines="0" zoomScale="80" zoomScaleNormal="80" zoomScalePageLayoutView="80" workbookViewId="0">
      <pane xSplit="1" ySplit="2" topLeftCell="B3" activePane="bottomRight" state="frozen"/>
      <selection pane="topRight" activeCell="I1" sqref="I1"/>
      <selection pane="bottomLeft" activeCell="A2" sqref="A2"/>
      <selection pane="bottomRight" activeCell="C19" sqref="C19:E19"/>
    </sheetView>
  </sheetViews>
  <sheetFormatPr defaultColWidth="9.109375" defaultRowHeight="13.2" x14ac:dyDescent="0.25"/>
  <cols>
    <col min="1" max="1" width="13.109375" style="1" customWidth="1"/>
    <col min="2" max="2" width="28.88671875" style="1" customWidth="1"/>
    <col min="3" max="6" width="16.109375" style="15" customWidth="1"/>
    <col min="7" max="7" width="16.109375" style="21" customWidth="1"/>
    <col min="8" max="16384" width="9.109375" style="1"/>
  </cols>
  <sheetData>
    <row r="1" spans="1:7" ht="15.6" x14ac:dyDescent="0.3">
      <c r="B1" s="1" t="s">
        <v>36</v>
      </c>
      <c r="C1" s="47" t="s">
        <v>109</v>
      </c>
      <c r="D1" s="47"/>
      <c r="E1" s="47"/>
      <c r="F1" s="47"/>
      <c r="G1" s="47"/>
    </row>
    <row r="2" spans="1:7" x14ac:dyDescent="0.25">
      <c r="A2" s="1" t="s">
        <v>0</v>
      </c>
      <c r="B2" s="2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4" t="s">
        <v>6</v>
      </c>
    </row>
    <row r="3" spans="1:7" s="5" customFormat="1" x14ac:dyDescent="0.25">
      <c r="A3" s="3" t="s">
        <v>38</v>
      </c>
      <c r="B3" s="4" t="s">
        <v>89</v>
      </c>
      <c r="C3" s="16">
        <v>19</v>
      </c>
      <c r="D3" s="16">
        <v>21</v>
      </c>
      <c r="E3" s="16">
        <v>22</v>
      </c>
      <c r="F3" s="16">
        <v>19</v>
      </c>
      <c r="G3" s="16">
        <v>25</v>
      </c>
    </row>
    <row r="4" spans="1:7" s="5" customFormat="1" x14ac:dyDescent="0.25">
      <c r="A4" s="3" t="s">
        <v>39</v>
      </c>
      <c r="B4" s="4" t="s">
        <v>90</v>
      </c>
      <c r="C4" s="22">
        <v>7</v>
      </c>
      <c r="D4" s="16">
        <v>4</v>
      </c>
      <c r="E4" s="16">
        <v>5</v>
      </c>
      <c r="F4" s="16">
        <v>7</v>
      </c>
      <c r="G4" s="16">
        <v>12</v>
      </c>
    </row>
    <row r="5" spans="1:7" s="5" customFormat="1" x14ac:dyDescent="0.25">
      <c r="A5" s="3" t="s">
        <v>40</v>
      </c>
      <c r="B5" s="4" t="s">
        <v>91</v>
      </c>
      <c r="C5" s="16">
        <v>27</v>
      </c>
      <c r="D5" s="16">
        <v>34</v>
      </c>
      <c r="E5" s="16">
        <v>30</v>
      </c>
      <c r="F5" s="16">
        <v>36</v>
      </c>
      <c r="G5" s="16">
        <v>30</v>
      </c>
    </row>
    <row r="6" spans="1:7" s="5" customFormat="1" x14ac:dyDescent="0.25">
      <c r="A6" s="3" t="s">
        <v>41</v>
      </c>
      <c r="B6" s="4" t="s">
        <v>92</v>
      </c>
      <c r="C6" s="16">
        <v>7</v>
      </c>
      <c r="D6" s="16">
        <v>7</v>
      </c>
      <c r="E6" s="16">
        <v>7</v>
      </c>
      <c r="F6" s="16">
        <v>10</v>
      </c>
      <c r="G6" s="16">
        <v>8</v>
      </c>
    </row>
    <row r="7" spans="1:7" s="5" customFormat="1" x14ac:dyDescent="0.25">
      <c r="A7" s="3" t="s">
        <v>42</v>
      </c>
      <c r="B7" s="4" t="s">
        <v>93</v>
      </c>
      <c r="C7" s="16">
        <v>5</v>
      </c>
      <c r="D7" s="16">
        <v>7</v>
      </c>
      <c r="E7" s="16">
        <v>7</v>
      </c>
      <c r="F7" s="16">
        <v>8</v>
      </c>
      <c r="G7" s="16">
        <v>12</v>
      </c>
    </row>
    <row r="8" spans="1:7" s="5" customFormat="1" x14ac:dyDescent="0.25">
      <c r="A8" s="3" t="s">
        <v>43</v>
      </c>
      <c r="B8" s="4" t="s">
        <v>94</v>
      </c>
      <c r="C8" s="16"/>
      <c r="D8" s="16"/>
      <c r="E8" s="16">
        <v>30</v>
      </c>
      <c r="F8" s="16">
        <v>38</v>
      </c>
      <c r="G8" s="16">
        <v>35</v>
      </c>
    </row>
    <row r="9" spans="1:7" s="5" customFormat="1" x14ac:dyDescent="0.25">
      <c r="A9" s="3" t="s">
        <v>44</v>
      </c>
      <c r="B9" s="4" t="s">
        <v>95</v>
      </c>
      <c r="C9" s="16">
        <v>5</v>
      </c>
      <c r="D9" s="16">
        <v>3</v>
      </c>
      <c r="E9" s="16">
        <v>6</v>
      </c>
      <c r="F9" s="16">
        <v>10</v>
      </c>
      <c r="G9" s="16">
        <v>2</v>
      </c>
    </row>
    <row r="10" spans="1:7" s="5" customFormat="1" x14ac:dyDescent="0.25">
      <c r="A10" s="3" t="s">
        <v>45</v>
      </c>
      <c r="B10" s="4" t="s">
        <v>96</v>
      </c>
      <c r="C10" s="16">
        <v>42</v>
      </c>
      <c r="D10" s="16">
        <v>38</v>
      </c>
      <c r="E10" s="16">
        <v>45</v>
      </c>
      <c r="F10" s="16">
        <v>50</v>
      </c>
      <c r="G10" s="16">
        <v>26</v>
      </c>
    </row>
    <row r="11" spans="1:7" s="5" customFormat="1" x14ac:dyDescent="0.25">
      <c r="A11" s="3" t="s">
        <v>46</v>
      </c>
      <c r="B11" s="4" t="s">
        <v>97</v>
      </c>
      <c r="C11" s="16">
        <v>28</v>
      </c>
      <c r="D11" s="16">
        <v>30</v>
      </c>
      <c r="E11" s="16">
        <v>35</v>
      </c>
      <c r="F11" s="17">
        <v>40</v>
      </c>
      <c r="G11" s="16">
        <v>38</v>
      </c>
    </row>
    <row r="12" spans="1:7" s="5" customFormat="1" x14ac:dyDescent="0.25">
      <c r="A12" s="3" t="s">
        <v>47</v>
      </c>
      <c r="B12" s="4" t="s">
        <v>98</v>
      </c>
      <c r="C12" s="16">
        <v>6</v>
      </c>
      <c r="D12" s="16">
        <v>8</v>
      </c>
      <c r="E12" s="16">
        <v>10</v>
      </c>
      <c r="F12" s="16">
        <v>12</v>
      </c>
      <c r="G12" s="16">
        <v>15</v>
      </c>
    </row>
    <row r="13" spans="1:7" s="5" customFormat="1" x14ac:dyDescent="0.25">
      <c r="A13" s="3" t="s">
        <v>48</v>
      </c>
      <c r="B13" s="4" t="s">
        <v>99</v>
      </c>
      <c r="C13" s="16">
        <v>5</v>
      </c>
      <c r="D13" s="16">
        <v>7</v>
      </c>
      <c r="E13" s="16">
        <v>8</v>
      </c>
      <c r="F13" s="16">
        <v>12</v>
      </c>
      <c r="G13" s="16">
        <v>15</v>
      </c>
    </row>
    <row r="14" spans="1:7" s="5" customFormat="1" x14ac:dyDescent="0.25">
      <c r="A14" s="3" t="s">
        <v>49</v>
      </c>
      <c r="B14" s="4" t="s">
        <v>100</v>
      </c>
      <c r="C14" s="16">
        <v>9</v>
      </c>
      <c r="D14" s="16">
        <v>9</v>
      </c>
      <c r="E14" s="16">
        <v>11</v>
      </c>
      <c r="F14" s="16">
        <v>15</v>
      </c>
      <c r="G14" s="16">
        <v>15</v>
      </c>
    </row>
    <row r="15" spans="1:7" s="5" customFormat="1" x14ac:dyDescent="0.25">
      <c r="A15" s="3" t="s">
        <v>50</v>
      </c>
      <c r="B15" s="4" t="s">
        <v>101</v>
      </c>
      <c r="C15" s="16">
        <v>6</v>
      </c>
      <c r="D15" s="16">
        <v>11</v>
      </c>
      <c r="E15" s="16">
        <v>14</v>
      </c>
      <c r="F15" s="16">
        <v>15</v>
      </c>
      <c r="G15" s="16">
        <v>21</v>
      </c>
    </row>
    <row r="16" spans="1:7" s="5" customFormat="1" x14ac:dyDescent="0.25">
      <c r="A16" s="3" t="s">
        <v>51</v>
      </c>
      <c r="B16" s="4" t="s">
        <v>102</v>
      </c>
      <c r="C16" s="16"/>
      <c r="D16" s="16">
        <v>9</v>
      </c>
      <c r="E16" s="16">
        <v>11</v>
      </c>
      <c r="F16" s="16">
        <v>13</v>
      </c>
      <c r="G16" s="16">
        <v>14</v>
      </c>
    </row>
    <row r="17" spans="1:7" s="5" customFormat="1" x14ac:dyDescent="0.25">
      <c r="A17" s="3" t="s">
        <v>52</v>
      </c>
      <c r="B17" s="4" t="s">
        <v>103</v>
      </c>
      <c r="C17" s="16">
        <v>17</v>
      </c>
      <c r="D17" s="16">
        <v>20</v>
      </c>
      <c r="E17" s="16">
        <v>25</v>
      </c>
      <c r="F17" s="16">
        <v>32</v>
      </c>
      <c r="G17" s="16">
        <v>33</v>
      </c>
    </row>
    <row r="18" spans="1:7" s="5" customFormat="1" x14ac:dyDescent="0.25">
      <c r="A18" s="3" t="s">
        <v>53</v>
      </c>
      <c r="B18" s="4" t="s">
        <v>104</v>
      </c>
      <c r="C18" s="16">
        <v>15</v>
      </c>
      <c r="D18" s="16">
        <v>27</v>
      </c>
      <c r="E18" s="18">
        <v>33</v>
      </c>
      <c r="F18" s="18">
        <v>34</v>
      </c>
      <c r="G18" s="16">
        <v>35</v>
      </c>
    </row>
    <row r="19" spans="1:7" s="5" customFormat="1" x14ac:dyDescent="0.25">
      <c r="A19" s="3" t="s">
        <v>54</v>
      </c>
      <c r="B19" s="4" t="s">
        <v>105</v>
      </c>
      <c r="C19" s="16"/>
      <c r="D19" s="16"/>
      <c r="E19" s="16"/>
      <c r="F19" s="16">
        <v>13</v>
      </c>
      <c r="G19" s="16">
        <v>12</v>
      </c>
    </row>
    <row r="20" spans="1:7" s="5" customFormat="1" x14ac:dyDescent="0.25">
      <c r="A20" s="3" t="s">
        <v>55</v>
      </c>
      <c r="B20" s="4" t="s">
        <v>106</v>
      </c>
      <c r="C20" s="16">
        <v>9</v>
      </c>
      <c r="D20" s="16">
        <v>7</v>
      </c>
      <c r="E20" s="16">
        <v>19</v>
      </c>
      <c r="F20" s="16">
        <v>15</v>
      </c>
      <c r="G20" s="16">
        <v>16</v>
      </c>
    </row>
    <row r="21" spans="1:7" s="5" customFormat="1" x14ac:dyDescent="0.25">
      <c r="A21" s="3" t="s">
        <v>56</v>
      </c>
      <c r="B21" s="4" t="s">
        <v>107</v>
      </c>
      <c r="C21" s="16">
        <v>8</v>
      </c>
      <c r="D21" s="16">
        <v>7</v>
      </c>
      <c r="E21" s="16">
        <v>6</v>
      </c>
      <c r="F21" s="16">
        <v>21</v>
      </c>
      <c r="G21" s="16">
        <v>20</v>
      </c>
    </row>
    <row r="22" spans="1:7" s="5" customFormat="1" x14ac:dyDescent="0.25">
      <c r="A22" s="3" t="s">
        <v>57</v>
      </c>
      <c r="B22" s="4" t="s">
        <v>108</v>
      </c>
      <c r="C22" s="16">
        <v>15</v>
      </c>
      <c r="D22" s="16">
        <v>14</v>
      </c>
      <c r="E22" s="16">
        <v>13</v>
      </c>
      <c r="F22" s="16">
        <v>12</v>
      </c>
      <c r="G22" s="16">
        <v>11</v>
      </c>
    </row>
    <row r="23" spans="1:7" s="5" customFormat="1" x14ac:dyDescent="0.25">
      <c r="A23" s="6"/>
      <c r="B23" s="7"/>
      <c r="C23" s="19"/>
      <c r="D23" s="19"/>
      <c r="E23" s="19"/>
      <c r="F23" s="19"/>
      <c r="G23" s="20"/>
    </row>
    <row r="24" spans="1:7" s="9" customFormat="1" x14ac:dyDescent="0.25">
      <c r="A24" s="1"/>
      <c r="B24" s="1"/>
      <c r="C24" s="15"/>
      <c r="D24" s="15"/>
      <c r="E24" s="15"/>
      <c r="F24" s="15"/>
      <c r="G24" s="21"/>
    </row>
    <row r="25" spans="1:7" s="9" customFormat="1" x14ac:dyDescent="0.25">
      <c r="A25" s="1"/>
      <c r="B25" s="1"/>
      <c r="C25" s="15"/>
      <c r="D25" s="15"/>
      <c r="E25" s="15"/>
      <c r="F25" s="15"/>
      <c r="G25" s="21"/>
    </row>
    <row r="26" spans="1:7" s="9" customFormat="1" x14ac:dyDescent="0.25">
      <c r="A26" s="1"/>
      <c r="B26" s="1"/>
      <c r="C26" s="15"/>
      <c r="D26" s="15"/>
      <c r="E26" s="15"/>
      <c r="F26" s="15"/>
      <c r="G26" s="21"/>
    </row>
    <row r="27" spans="1:7" s="9" customFormat="1" x14ac:dyDescent="0.25">
      <c r="A27" s="1"/>
      <c r="B27" s="1"/>
      <c r="C27" s="15"/>
      <c r="D27" s="15"/>
      <c r="E27" s="15"/>
      <c r="F27" s="15"/>
      <c r="G27" s="21"/>
    </row>
    <row r="28" spans="1:7" s="9" customFormat="1" x14ac:dyDescent="0.25">
      <c r="A28" s="1"/>
      <c r="B28" s="1"/>
      <c r="C28" s="15"/>
      <c r="D28" s="15"/>
      <c r="E28" s="15"/>
      <c r="F28" s="15"/>
      <c r="G28" s="21"/>
    </row>
    <row r="29" spans="1:7" s="9" customFormat="1" x14ac:dyDescent="0.25">
      <c r="A29" s="1"/>
      <c r="B29" s="1"/>
      <c r="C29" s="15"/>
      <c r="D29" s="15"/>
      <c r="E29" s="15"/>
      <c r="F29" s="15"/>
      <c r="G29" s="21"/>
    </row>
  </sheetData>
  <mergeCells count="1">
    <mergeCell ref="C1:G1"/>
  </mergeCells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showGridLines="0" zoomScale="80" zoomScaleNormal="80" zoomScalePageLayoutView="80" workbookViewId="0">
      <pane xSplit="1" ySplit="2" topLeftCell="B3" activePane="bottomRight" state="frozen"/>
      <selection pane="topRight" activeCell="I1" sqref="I1"/>
      <selection pane="bottomLeft" activeCell="A2" sqref="A2"/>
      <selection pane="bottomRight" activeCell="H25" sqref="H25"/>
    </sheetView>
  </sheetViews>
  <sheetFormatPr defaultColWidth="9.109375" defaultRowHeight="13.2" x14ac:dyDescent="0.25"/>
  <cols>
    <col min="1" max="1" width="13.109375" style="1" customWidth="1"/>
    <col min="2" max="2" width="12.6640625" style="1" bestFit="1" customWidth="1"/>
    <col min="3" max="6" width="16.109375" style="15" customWidth="1"/>
    <col min="7" max="7" width="16.109375" style="21" customWidth="1"/>
    <col min="8" max="16384" width="9.109375" style="1"/>
  </cols>
  <sheetData>
    <row r="1" spans="1:7" ht="15.6" x14ac:dyDescent="0.3">
      <c r="B1" s="47" t="s">
        <v>110</v>
      </c>
      <c r="C1" s="47"/>
      <c r="D1" s="47"/>
      <c r="E1" s="47"/>
      <c r="F1" s="47"/>
      <c r="G1" s="21" t="s">
        <v>37</v>
      </c>
    </row>
    <row r="2" spans="1:7" x14ac:dyDescent="0.25">
      <c r="A2" s="1" t="s">
        <v>0</v>
      </c>
      <c r="B2" s="2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4" t="s">
        <v>6</v>
      </c>
    </row>
    <row r="3" spans="1:7" s="5" customFormat="1" x14ac:dyDescent="0.25">
      <c r="A3" s="3" t="s">
        <v>38</v>
      </c>
      <c r="B3" s="4" t="s">
        <v>89</v>
      </c>
      <c r="C3" s="16">
        <v>11</v>
      </c>
      <c r="D3" s="16">
        <v>10</v>
      </c>
      <c r="E3" s="16">
        <v>7</v>
      </c>
      <c r="F3" s="16">
        <v>7</v>
      </c>
      <c r="G3" s="16">
        <v>6</v>
      </c>
    </row>
    <row r="4" spans="1:7" s="5" customFormat="1" x14ac:dyDescent="0.25">
      <c r="A4" s="3" t="s">
        <v>39</v>
      </c>
      <c r="B4" s="4" t="s">
        <v>90</v>
      </c>
      <c r="C4" s="22">
        <v>1</v>
      </c>
      <c r="D4" s="16">
        <v>1</v>
      </c>
      <c r="E4" s="16">
        <v>1</v>
      </c>
      <c r="F4" s="16">
        <v>4</v>
      </c>
      <c r="G4" s="16">
        <v>2</v>
      </c>
    </row>
    <row r="5" spans="1:7" s="5" customFormat="1" x14ac:dyDescent="0.25">
      <c r="A5" s="3" t="s">
        <v>40</v>
      </c>
      <c r="B5" s="4" t="s">
        <v>91</v>
      </c>
      <c r="C5" s="16">
        <v>7</v>
      </c>
      <c r="D5" s="16">
        <v>7</v>
      </c>
      <c r="E5" s="16">
        <v>4</v>
      </c>
      <c r="F5" s="16">
        <v>7</v>
      </c>
      <c r="G5" s="16">
        <v>6</v>
      </c>
    </row>
    <row r="6" spans="1:7" s="5" customFormat="1" x14ac:dyDescent="0.25">
      <c r="A6" s="3" t="s">
        <v>41</v>
      </c>
      <c r="B6" s="4" t="s">
        <v>92</v>
      </c>
      <c r="C6" s="16">
        <v>4</v>
      </c>
      <c r="D6" s="16">
        <v>3</v>
      </c>
      <c r="E6" s="16">
        <v>3</v>
      </c>
      <c r="F6" s="16">
        <v>4</v>
      </c>
      <c r="G6" s="16">
        <v>4</v>
      </c>
    </row>
    <row r="7" spans="1:7" s="5" customFormat="1" x14ac:dyDescent="0.25">
      <c r="A7" s="3" t="s">
        <v>42</v>
      </c>
      <c r="B7" s="4" t="s">
        <v>93</v>
      </c>
      <c r="C7" s="16">
        <v>2</v>
      </c>
      <c r="D7" s="16">
        <v>3</v>
      </c>
      <c r="E7" s="16">
        <v>3</v>
      </c>
      <c r="F7" s="16">
        <v>4</v>
      </c>
      <c r="G7" s="16">
        <v>4</v>
      </c>
    </row>
    <row r="8" spans="1:7" s="5" customFormat="1" x14ac:dyDescent="0.25">
      <c r="A8" s="3" t="s">
        <v>43</v>
      </c>
      <c r="B8" s="4" t="s">
        <v>94</v>
      </c>
      <c r="C8" s="16"/>
      <c r="D8" s="16"/>
      <c r="E8" s="16">
        <v>10</v>
      </c>
      <c r="F8" s="16">
        <v>14</v>
      </c>
      <c r="G8" s="16">
        <v>14</v>
      </c>
    </row>
    <row r="9" spans="1:7" s="5" customFormat="1" x14ac:dyDescent="0.25">
      <c r="A9" s="3" t="s">
        <v>44</v>
      </c>
      <c r="B9" s="4" t="s">
        <v>95</v>
      </c>
      <c r="C9" s="16">
        <v>1</v>
      </c>
      <c r="D9" s="16">
        <v>0</v>
      </c>
      <c r="E9" s="16">
        <v>0</v>
      </c>
      <c r="F9" s="16">
        <v>2</v>
      </c>
      <c r="G9" s="16">
        <v>2</v>
      </c>
    </row>
    <row r="10" spans="1:7" s="5" customFormat="1" x14ac:dyDescent="0.25">
      <c r="A10" s="3" t="s">
        <v>45</v>
      </c>
      <c r="B10" s="4" t="s">
        <v>96</v>
      </c>
      <c r="C10" s="16">
        <v>27</v>
      </c>
      <c r="D10" s="16">
        <v>22</v>
      </c>
      <c r="E10" s="16">
        <v>21</v>
      </c>
      <c r="F10" s="16">
        <v>34</v>
      </c>
      <c r="G10" s="16">
        <v>25</v>
      </c>
    </row>
    <row r="11" spans="1:7" s="5" customFormat="1" x14ac:dyDescent="0.25">
      <c r="A11" s="3" t="s">
        <v>46</v>
      </c>
      <c r="B11" s="4" t="s">
        <v>97</v>
      </c>
      <c r="C11" s="16">
        <v>6</v>
      </c>
      <c r="D11" s="16">
        <v>8</v>
      </c>
      <c r="E11" s="16">
        <v>10</v>
      </c>
      <c r="F11" s="17">
        <v>12</v>
      </c>
      <c r="G11" s="17">
        <v>10</v>
      </c>
    </row>
    <row r="12" spans="1:7" s="5" customFormat="1" x14ac:dyDescent="0.25">
      <c r="A12" s="3" t="s">
        <v>47</v>
      </c>
      <c r="B12" s="4" t="s">
        <v>98</v>
      </c>
      <c r="C12" s="16">
        <v>3</v>
      </c>
      <c r="D12" s="16">
        <v>3</v>
      </c>
      <c r="E12" s="16">
        <v>4</v>
      </c>
      <c r="F12" s="16">
        <v>5</v>
      </c>
      <c r="G12" s="16">
        <v>5</v>
      </c>
    </row>
    <row r="13" spans="1:7" s="5" customFormat="1" x14ac:dyDescent="0.25">
      <c r="A13" s="3" t="s">
        <v>48</v>
      </c>
      <c r="B13" s="4" t="s">
        <v>99</v>
      </c>
      <c r="C13" s="16">
        <v>1</v>
      </c>
      <c r="D13" s="16">
        <v>1</v>
      </c>
      <c r="E13" s="16">
        <v>2</v>
      </c>
      <c r="F13" s="16">
        <v>3</v>
      </c>
      <c r="G13" s="16">
        <v>3</v>
      </c>
    </row>
    <row r="14" spans="1:7" s="5" customFormat="1" x14ac:dyDescent="0.25">
      <c r="A14" s="3" t="s">
        <v>49</v>
      </c>
      <c r="B14" s="4" t="s">
        <v>100</v>
      </c>
      <c r="C14" s="16">
        <v>8</v>
      </c>
      <c r="D14" s="16">
        <v>8</v>
      </c>
      <c r="E14" s="16">
        <v>10</v>
      </c>
      <c r="F14" s="16">
        <v>14</v>
      </c>
      <c r="G14" s="16">
        <v>14</v>
      </c>
    </row>
    <row r="15" spans="1:7" s="5" customFormat="1" x14ac:dyDescent="0.25">
      <c r="A15" s="3" t="s">
        <v>50</v>
      </c>
      <c r="B15" s="4" t="s">
        <v>101</v>
      </c>
      <c r="C15" s="16">
        <v>2</v>
      </c>
      <c r="D15" s="16">
        <v>3</v>
      </c>
      <c r="E15" s="16">
        <v>4</v>
      </c>
      <c r="F15" s="16">
        <v>3</v>
      </c>
      <c r="G15" s="16">
        <v>3</v>
      </c>
    </row>
    <row r="16" spans="1:7" s="5" customFormat="1" x14ac:dyDescent="0.25">
      <c r="A16" s="3" t="s">
        <v>51</v>
      </c>
      <c r="B16" s="4" t="s">
        <v>102</v>
      </c>
      <c r="C16" s="16"/>
      <c r="D16" s="16">
        <v>4</v>
      </c>
      <c r="E16" s="16">
        <v>4</v>
      </c>
      <c r="F16" s="16">
        <v>5</v>
      </c>
      <c r="G16" s="16">
        <v>5</v>
      </c>
    </row>
    <row r="17" spans="1:7" s="5" customFormat="1" x14ac:dyDescent="0.25">
      <c r="A17" s="3" t="s">
        <v>52</v>
      </c>
      <c r="B17" s="4" t="s">
        <v>103</v>
      </c>
      <c r="C17" s="16">
        <v>5</v>
      </c>
      <c r="D17" s="16">
        <v>5</v>
      </c>
      <c r="E17" s="16">
        <v>6</v>
      </c>
      <c r="F17" s="16">
        <v>6</v>
      </c>
      <c r="G17" s="16">
        <v>6</v>
      </c>
    </row>
    <row r="18" spans="1:7" s="5" customFormat="1" x14ac:dyDescent="0.25">
      <c r="A18" s="3" t="s">
        <v>53</v>
      </c>
      <c r="B18" s="4" t="s">
        <v>104</v>
      </c>
      <c r="C18" s="16">
        <v>4</v>
      </c>
      <c r="D18" s="16">
        <v>16</v>
      </c>
      <c r="E18" s="18">
        <v>15</v>
      </c>
      <c r="F18" s="18">
        <v>12</v>
      </c>
      <c r="G18" s="18">
        <v>12</v>
      </c>
    </row>
    <row r="19" spans="1:7" s="5" customFormat="1" x14ac:dyDescent="0.25">
      <c r="A19" s="3" t="s">
        <v>54</v>
      </c>
      <c r="B19" s="4" t="s">
        <v>105</v>
      </c>
      <c r="C19" s="16"/>
      <c r="D19" s="16"/>
      <c r="E19" s="16"/>
      <c r="F19" s="16">
        <v>4</v>
      </c>
      <c r="G19" s="16">
        <v>4</v>
      </c>
    </row>
    <row r="20" spans="1:7" s="5" customFormat="1" x14ac:dyDescent="0.25">
      <c r="A20" s="3" t="s">
        <v>55</v>
      </c>
      <c r="B20" s="4" t="s">
        <v>106</v>
      </c>
      <c r="C20" s="16">
        <v>9</v>
      </c>
      <c r="D20" s="16">
        <v>6</v>
      </c>
      <c r="E20" s="16">
        <v>17</v>
      </c>
      <c r="F20" s="16">
        <v>12</v>
      </c>
      <c r="G20" s="16">
        <v>12</v>
      </c>
    </row>
    <row r="21" spans="1:7" s="5" customFormat="1" x14ac:dyDescent="0.25">
      <c r="A21" s="3" t="s">
        <v>56</v>
      </c>
      <c r="B21" s="4" t="s">
        <v>107</v>
      </c>
      <c r="C21" s="16">
        <v>1</v>
      </c>
      <c r="D21" s="16">
        <v>2</v>
      </c>
      <c r="E21" s="16">
        <v>2</v>
      </c>
      <c r="F21" s="16">
        <v>7</v>
      </c>
      <c r="G21" s="16">
        <v>7</v>
      </c>
    </row>
    <row r="22" spans="1:7" s="5" customFormat="1" x14ac:dyDescent="0.25">
      <c r="A22" s="3" t="s">
        <v>57</v>
      </c>
      <c r="B22" s="4" t="s">
        <v>108</v>
      </c>
      <c r="C22" s="16">
        <v>1</v>
      </c>
      <c r="D22" s="16">
        <v>4</v>
      </c>
      <c r="E22" s="16">
        <v>5</v>
      </c>
      <c r="F22" s="16">
        <v>11</v>
      </c>
      <c r="G22" s="16">
        <v>11</v>
      </c>
    </row>
    <row r="23" spans="1:7" s="5" customFormat="1" x14ac:dyDescent="0.25">
      <c r="A23" s="6"/>
      <c r="B23" s="7"/>
      <c r="C23" s="19"/>
      <c r="D23" s="19"/>
      <c r="E23" s="19"/>
      <c r="F23" s="19"/>
      <c r="G23" s="20"/>
    </row>
    <row r="24" spans="1:7" s="9" customFormat="1" x14ac:dyDescent="0.25">
      <c r="A24" s="1"/>
      <c r="B24" s="1"/>
      <c r="C24" s="15"/>
      <c r="D24" s="15"/>
      <c r="E24" s="15"/>
      <c r="F24" s="15"/>
      <c r="G24" s="21"/>
    </row>
    <row r="25" spans="1:7" s="9" customFormat="1" x14ac:dyDescent="0.25">
      <c r="A25" s="1"/>
      <c r="B25" s="1"/>
      <c r="C25" s="15"/>
      <c r="D25" s="15"/>
      <c r="E25" s="15"/>
      <c r="F25" s="15"/>
      <c r="G25" s="21"/>
    </row>
    <row r="26" spans="1:7" s="9" customFormat="1" x14ac:dyDescent="0.25">
      <c r="A26" s="1"/>
      <c r="B26" s="1"/>
      <c r="C26" s="15"/>
      <c r="D26" s="15"/>
      <c r="E26" s="15"/>
      <c r="F26" s="15"/>
      <c r="G26" s="21"/>
    </row>
    <row r="27" spans="1:7" s="9" customFormat="1" x14ac:dyDescent="0.25">
      <c r="A27" s="1"/>
      <c r="B27" s="1"/>
      <c r="C27" s="15"/>
      <c r="D27" s="15"/>
      <c r="E27" s="15"/>
      <c r="F27" s="15"/>
      <c r="G27" s="21"/>
    </row>
    <row r="28" spans="1:7" s="9" customFormat="1" x14ac:dyDescent="0.25">
      <c r="A28" s="1"/>
      <c r="B28" s="1"/>
      <c r="C28" s="15"/>
      <c r="D28" s="15"/>
      <c r="E28" s="15"/>
      <c r="F28" s="15"/>
      <c r="G28" s="21"/>
    </row>
    <row r="29" spans="1:7" s="9" customFormat="1" x14ac:dyDescent="0.25">
      <c r="A29" s="1"/>
      <c r="B29" s="1"/>
      <c r="C29" s="15"/>
      <c r="D29" s="15"/>
      <c r="E29" s="15"/>
      <c r="F29" s="15"/>
      <c r="G29" s="21"/>
    </row>
  </sheetData>
  <mergeCells count="1">
    <mergeCell ref="B1:F1"/>
  </mergeCells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showGridLines="0" zoomScale="80" zoomScaleNormal="80" zoomScalePageLayoutView="80" workbookViewId="0">
      <pane xSplit="1" ySplit="1" topLeftCell="B2" activePane="bottomRight" state="frozen"/>
      <selection pane="topRight" activeCell="I1" sqref="I1"/>
      <selection pane="bottomLeft" activeCell="A2" sqref="A2"/>
      <selection pane="bottomRight" activeCell="C18" sqref="C18:E18"/>
    </sheetView>
  </sheetViews>
  <sheetFormatPr defaultColWidth="9.109375" defaultRowHeight="13.2" x14ac:dyDescent="0.25"/>
  <cols>
    <col min="1" max="1" width="13.109375" style="1" customWidth="1"/>
    <col min="2" max="2" width="12.6640625" style="1" bestFit="1" customWidth="1"/>
    <col min="3" max="6" width="16.109375" style="1" customWidth="1"/>
    <col min="7" max="7" width="16.109375" style="9" customWidth="1"/>
    <col min="8" max="16384" width="9.109375" style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s="5" customFormat="1" x14ac:dyDescent="0.25">
      <c r="A2" s="3" t="s">
        <v>38</v>
      </c>
      <c r="B2" s="4" t="s">
        <v>89</v>
      </c>
      <c r="C2" s="10">
        <v>4037086.13</v>
      </c>
      <c r="D2" s="10">
        <v>3263305.69</v>
      </c>
      <c r="E2" s="10">
        <v>3471871.87</v>
      </c>
      <c r="F2" s="10">
        <v>4104501.58</v>
      </c>
      <c r="G2" s="10">
        <v>4280198.82</v>
      </c>
    </row>
    <row r="3" spans="1:7" s="5" customFormat="1" x14ac:dyDescent="0.25">
      <c r="A3" s="3" t="s">
        <v>39</v>
      </c>
      <c r="B3" s="4" t="s">
        <v>90</v>
      </c>
      <c r="C3" s="23">
        <v>56896</v>
      </c>
      <c r="D3" s="10">
        <v>112462</v>
      </c>
      <c r="E3" s="10">
        <v>253249</v>
      </c>
      <c r="F3" s="10">
        <v>885562</v>
      </c>
      <c r="G3" s="10">
        <v>1067777</v>
      </c>
    </row>
    <row r="4" spans="1:7" s="5" customFormat="1" x14ac:dyDescent="0.25">
      <c r="A4" s="3" t="s">
        <v>40</v>
      </c>
      <c r="B4" s="4" t="s">
        <v>91</v>
      </c>
      <c r="C4" s="10">
        <v>4604811.5999999996</v>
      </c>
      <c r="D4" s="10">
        <v>5348772.28</v>
      </c>
      <c r="E4" s="10">
        <v>7066122.8899999997</v>
      </c>
      <c r="F4" s="10">
        <v>5138394.13</v>
      </c>
      <c r="G4" s="10">
        <v>5263896</v>
      </c>
    </row>
    <row r="5" spans="1:7" s="5" customFormat="1" x14ac:dyDescent="0.25">
      <c r="A5" s="3" t="s">
        <v>41</v>
      </c>
      <c r="B5" s="4" t="s">
        <v>92</v>
      </c>
      <c r="C5" s="10">
        <v>3276283</v>
      </c>
      <c r="D5" s="10">
        <v>5527963</v>
      </c>
      <c r="E5" s="10">
        <v>1700393.78</v>
      </c>
      <c r="F5" s="10">
        <v>3071869.85</v>
      </c>
      <c r="G5" s="10">
        <v>2577707</v>
      </c>
    </row>
    <row r="6" spans="1:7" s="5" customFormat="1" x14ac:dyDescent="0.25">
      <c r="A6" s="3" t="s">
        <v>42</v>
      </c>
      <c r="B6" s="4" t="s">
        <v>93</v>
      </c>
      <c r="C6" s="10">
        <v>783117</v>
      </c>
      <c r="D6" s="10">
        <v>733954.79</v>
      </c>
      <c r="E6" s="10">
        <v>1000894.63</v>
      </c>
      <c r="F6" s="10">
        <v>1403628.27</v>
      </c>
      <c r="G6" s="10">
        <v>1964214</v>
      </c>
    </row>
    <row r="7" spans="1:7" s="5" customFormat="1" x14ac:dyDescent="0.25">
      <c r="A7" s="3" t="s">
        <v>43</v>
      </c>
      <c r="B7" s="4" t="s">
        <v>94</v>
      </c>
      <c r="C7" s="10"/>
      <c r="D7" s="10"/>
      <c r="E7" s="10">
        <v>6828497</v>
      </c>
      <c r="F7" s="10">
        <v>9346087</v>
      </c>
      <c r="G7" s="10">
        <v>11800686.970000001</v>
      </c>
    </row>
    <row r="8" spans="1:7" s="5" customFormat="1" x14ac:dyDescent="0.25">
      <c r="A8" s="3" t="s">
        <v>44</v>
      </c>
      <c r="B8" s="4" t="s">
        <v>95</v>
      </c>
      <c r="C8" s="10">
        <v>569879</v>
      </c>
      <c r="D8" s="10">
        <v>1677191.4079999998</v>
      </c>
      <c r="E8" s="10">
        <v>602423.80399999989</v>
      </c>
      <c r="F8" s="10">
        <v>1591374.4879999999</v>
      </c>
      <c r="G8" s="10">
        <v>4143640.9</v>
      </c>
    </row>
    <row r="9" spans="1:7" s="5" customFormat="1" x14ac:dyDescent="0.25">
      <c r="A9" s="3" t="s">
        <v>45</v>
      </c>
      <c r="B9" s="4" t="s">
        <v>96</v>
      </c>
      <c r="C9" s="10">
        <v>11129773</v>
      </c>
      <c r="D9" s="10">
        <v>8486513</v>
      </c>
      <c r="E9" s="10">
        <v>9216534</v>
      </c>
      <c r="F9" s="10">
        <v>10331016</v>
      </c>
      <c r="G9" s="10">
        <v>11000000</v>
      </c>
    </row>
    <row r="10" spans="1:7" s="5" customFormat="1" x14ac:dyDescent="0.25">
      <c r="A10" s="3" t="s">
        <v>46</v>
      </c>
      <c r="B10" s="4" t="s">
        <v>97</v>
      </c>
      <c r="C10" s="10">
        <v>12000000</v>
      </c>
      <c r="D10" s="10">
        <v>15000000</v>
      </c>
      <c r="E10" s="10">
        <v>18000000</v>
      </c>
      <c r="F10" s="12">
        <v>21350000</v>
      </c>
      <c r="G10" s="10">
        <v>24000000</v>
      </c>
    </row>
    <row r="11" spans="1:7" s="5" customFormat="1" x14ac:dyDescent="0.25">
      <c r="A11" s="3" t="s">
        <v>47</v>
      </c>
      <c r="B11" s="4" t="s">
        <v>98</v>
      </c>
      <c r="C11" s="10">
        <v>936250</v>
      </c>
      <c r="D11" s="10">
        <v>1105100</v>
      </c>
      <c r="E11" s="10">
        <v>1200500</v>
      </c>
      <c r="F11" s="10">
        <v>1355200</v>
      </c>
      <c r="G11" s="10">
        <v>1110073</v>
      </c>
    </row>
    <row r="12" spans="1:7" s="5" customFormat="1" x14ac:dyDescent="0.25">
      <c r="A12" s="3" t="s">
        <v>48</v>
      </c>
      <c r="B12" s="4" t="s">
        <v>99</v>
      </c>
      <c r="C12" s="10">
        <v>568978</v>
      </c>
      <c r="D12" s="10">
        <v>2568741</v>
      </c>
      <c r="E12" s="10">
        <v>1757154.61</v>
      </c>
      <c r="F12" s="10">
        <v>1406482.27</v>
      </c>
      <c r="G12" s="10">
        <v>2376688</v>
      </c>
    </row>
    <row r="13" spans="1:7" s="5" customFormat="1" x14ac:dyDescent="0.25">
      <c r="A13" s="3" t="s">
        <v>49</v>
      </c>
      <c r="B13" s="4" t="s">
        <v>100</v>
      </c>
      <c r="C13" s="10">
        <v>1591018.49</v>
      </c>
      <c r="D13" s="10">
        <v>1830630.9</v>
      </c>
      <c r="E13" s="10">
        <v>2362421</v>
      </c>
      <c r="F13" s="10">
        <v>2627424</v>
      </c>
      <c r="G13" s="10">
        <v>2569874</v>
      </c>
    </row>
    <row r="14" spans="1:7" s="5" customFormat="1" x14ac:dyDescent="0.25">
      <c r="A14" s="3" t="s">
        <v>50</v>
      </c>
      <c r="B14" s="4" t="s">
        <v>101</v>
      </c>
      <c r="C14" s="10">
        <v>172383</v>
      </c>
      <c r="D14" s="10">
        <v>660627</v>
      </c>
      <c r="E14" s="10">
        <v>733153</v>
      </c>
      <c r="F14" s="10">
        <v>1401600</v>
      </c>
      <c r="G14" s="10">
        <v>1643550</v>
      </c>
    </row>
    <row r="15" spans="1:7" s="5" customFormat="1" x14ac:dyDescent="0.25">
      <c r="A15" s="3" t="s">
        <v>51</v>
      </c>
      <c r="B15" s="4" t="s">
        <v>102</v>
      </c>
      <c r="C15" s="10"/>
      <c r="D15" s="10">
        <v>1152473.08</v>
      </c>
      <c r="E15" s="10">
        <v>1259344</v>
      </c>
      <c r="F15" s="10">
        <v>1265302.6499999999</v>
      </c>
      <c r="G15" s="10">
        <v>1784614</v>
      </c>
    </row>
    <row r="16" spans="1:7" s="5" customFormat="1" x14ac:dyDescent="0.25">
      <c r="A16" s="3" t="s">
        <v>52</v>
      </c>
      <c r="B16" s="4" t="s">
        <v>103</v>
      </c>
      <c r="C16" s="10">
        <v>3935713</v>
      </c>
      <c r="D16" s="10">
        <v>6640186</v>
      </c>
      <c r="E16" s="10">
        <v>7827607.1600000001</v>
      </c>
      <c r="F16" s="10">
        <v>7023000</v>
      </c>
      <c r="G16" s="10">
        <v>8240000</v>
      </c>
    </row>
    <row r="17" spans="1:7" s="5" customFormat="1" x14ac:dyDescent="0.25">
      <c r="A17" s="3" t="s">
        <v>53</v>
      </c>
      <c r="B17" s="4" t="s">
        <v>104</v>
      </c>
      <c r="C17" s="10">
        <v>568941</v>
      </c>
      <c r="D17" s="10">
        <v>1928136.09</v>
      </c>
      <c r="E17" s="13">
        <v>2206398.5</v>
      </c>
      <c r="F17" s="13">
        <v>2904678.14</v>
      </c>
      <c r="G17" s="10">
        <v>5152144</v>
      </c>
    </row>
    <row r="18" spans="1:7" s="5" customFormat="1" x14ac:dyDescent="0.25">
      <c r="A18" s="3" t="s">
        <v>54</v>
      </c>
      <c r="B18" s="4" t="s">
        <v>105</v>
      </c>
      <c r="C18" s="10"/>
      <c r="D18" s="10"/>
      <c r="E18" s="10"/>
      <c r="F18" s="10">
        <v>2686749</v>
      </c>
      <c r="G18" s="10">
        <v>2987415</v>
      </c>
    </row>
    <row r="19" spans="1:7" s="5" customFormat="1" x14ac:dyDescent="0.25">
      <c r="A19" s="3" t="s">
        <v>55</v>
      </c>
      <c r="B19" s="4" t="s">
        <v>106</v>
      </c>
      <c r="C19" s="10">
        <v>1284490.49</v>
      </c>
      <c r="D19" s="10">
        <v>1543814.54</v>
      </c>
      <c r="E19" s="10">
        <v>2049523.83</v>
      </c>
      <c r="F19" s="10">
        <v>2399611.1800000002</v>
      </c>
      <c r="G19" s="10">
        <v>653840</v>
      </c>
    </row>
    <row r="20" spans="1:7" s="5" customFormat="1" x14ac:dyDescent="0.25">
      <c r="A20" s="3" t="s">
        <v>56</v>
      </c>
      <c r="B20" s="4" t="s">
        <v>107</v>
      </c>
      <c r="C20" s="10">
        <v>356871</v>
      </c>
      <c r="D20" s="10">
        <v>2578131</v>
      </c>
      <c r="E20" s="10">
        <v>3512790.12</v>
      </c>
      <c r="F20" s="10">
        <v>4522000</v>
      </c>
      <c r="G20" s="10">
        <v>3224000</v>
      </c>
    </row>
    <row r="21" spans="1:7" s="5" customFormat="1" x14ac:dyDescent="0.25">
      <c r="A21" s="3" t="s">
        <v>57</v>
      </c>
      <c r="B21" s="4" t="s">
        <v>108</v>
      </c>
      <c r="C21" s="10">
        <v>256871</v>
      </c>
      <c r="D21" s="10">
        <v>658745</v>
      </c>
      <c r="E21" s="10">
        <v>758946</v>
      </c>
      <c r="F21" s="10">
        <v>1343525</v>
      </c>
      <c r="G21" s="10">
        <v>1789832</v>
      </c>
    </row>
    <row r="22" spans="1:7" s="5" customFormat="1" x14ac:dyDescent="0.25">
      <c r="A22" s="6"/>
      <c r="B22" s="7"/>
      <c r="C22" s="7"/>
      <c r="D22" s="7"/>
      <c r="E22" s="7"/>
      <c r="F22" s="7"/>
      <c r="G22" s="8"/>
    </row>
    <row r="23" spans="1:7" s="9" customFormat="1" x14ac:dyDescent="0.25">
      <c r="A23" s="1"/>
      <c r="B23" s="1"/>
      <c r="C23" s="1"/>
      <c r="D23" s="1"/>
      <c r="E23" s="1"/>
      <c r="F23" s="1"/>
    </row>
    <row r="24" spans="1:7" s="9" customFormat="1" x14ac:dyDescent="0.25">
      <c r="A24" s="1"/>
      <c r="B24" s="1"/>
      <c r="C24" s="1"/>
      <c r="D24" s="1"/>
      <c r="E24" s="1"/>
      <c r="F24" s="1"/>
    </row>
    <row r="25" spans="1:7" s="9" customFormat="1" x14ac:dyDescent="0.25">
      <c r="A25" s="1"/>
      <c r="B25" s="1"/>
      <c r="C25" s="1"/>
      <c r="D25" s="1"/>
      <c r="E25" s="1"/>
      <c r="F25" s="1"/>
    </row>
    <row r="26" spans="1:7" s="9" customFormat="1" x14ac:dyDescent="0.25">
      <c r="A26" s="1"/>
      <c r="B26" s="1"/>
      <c r="C26" s="1"/>
      <c r="D26" s="1"/>
      <c r="E26" s="1"/>
      <c r="F26" s="1"/>
    </row>
    <row r="27" spans="1:7" s="9" customFormat="1" x14ac:dyDescent="0.25">
      <c r="A27" s="1"/>
      <c r="B27" s="1"/>
      <c r="C27" s="1"/>
      <c r="D27" s="1"/>
      <c r="E27" s="1"/>
      <c r="F27" s="1"/>
    </row>
    <row r="28" spans="1:7" s="9" customFormat="1" x14ac:dyDescent="0.25">
      <c r="A28" s="1"/>
      <c r="B28" s="1"/>
      <c r="C28" s="1"/>
      <c r="D28" s="1"/>
      <c r="E28" s="1"/>
      <c r="F28" s="1"/>
    </row>
  </sheetData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showGridLines="0" zoomScale="80" zoomScaleNormal="80" zoomScalePageLayoutView="80" workbookViewId="0">
      <pane xSplit="1" ySplit="1" topLeftCell="B2" activePane="bottomRight" state="frozen"/>
      <selection pane="topRight" activeCell="I1" sqref="I1"/>
      <selection pane="bottomLeft" activeCell="A2" sqref="A2"/>
      <selection pane="bottomRight" activeCell="C18" sqref="C18:E18"/>
    </sheetView>
  </sheetViews>
  <sheetFormatPr defaultColWidth="9.109375" defaultRowHeight="13.2" x14ac:dyDescent="0.25"/>
  <cols>
    <col min="1" max="1" width="13.109375" style="1" customWidth="1"/>
    <col min="2" max="2" width="28.88671875" style="1" customWidth="1"/>
    <col min="3" max="6" width="16.109375" style="1" customWidth="1"/>
    <col min="7" max="7" width="16.109375" style="9" customWidth="1"/>
    <col min="8" max="16384" width="9.109375" style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s="5" customFormat="1" x14ac:dyDescent="0.25">
      <c r="A2" s="3" t="s">
        <v>38</v>
      </c>
      <c r="B2" s="4" t="s">
        <v>89</v>
      </c>
      <c r="C2" s="10">
        <v>3275431.56</v>
      </c>
      <c r="D2" s="10">
        <v>2685188.6399999997</v>
      </c>
      <c r="E2" s="10">
        <v>2879311.62</v>
      </c>
      <c r="F2" s="10">
        <v>3553641.72</v>
      </c>
      <c r="G2" s="10">
        <v>3314110.26</v>
      </c>
    </row>
    <row r="3" spans="1:7" s="5" customFormat="1" x14ac:dyDescent="0.25">
      <c r="A3" s="3" t="s">
        <v>39</v>
      </c>
      <c r="B3" s="4" t="s">
        <v>90</v>
      </c>
      <c r="C3" s="10">
        <v>5544</v>
      </c>
      <c r="D3" s="10">
        <v>505624</v>
      </c>
      <c r="E3" s="10">
        <v>415488</v>
      </c>
      <c r="F3" s="10">
        <v>842657</v>
      </c>
      <c r="G3" s="10">
        <v>1016425</v>
      </c>
    </row>
    <row r="4" spans="1:7" s="5" customFormat="1" x14ac:dyDescent="0.25">
      <c r="A4" s="3" t="s">
        <v>40</v>
      </c>
      <c r="B4" s="4" t="s">
        <v>91</v>
      </c>
      <c r="C4" s="10">
        <v>4352105.5</v>
      </c>
      <c r="D4" s="10">
        <v>5118565.4300000006</v>
      </c>
      <c r="E4" s="10">
        <v>6131759.8699999992</v>
      </c>
      <c r="F4" s="10">
        <v>4075857.11</v>
      </c>
      <c r="G4" s="10">
        <v>4338598</v>
      </c>
    </row>
    <row r="5" spans="1:7" s="5" customFormat="1" x14ac:dyDescent="0.25">
      <c r="A5" s="3" t="s">
        <v>41</v>
      </c>
      <c r="B5" s="4" t="s">
        <v>92</v>
      </c>
      <c r="C5" s="10">
        <v>3156185</v>
      </c>
      <c r="D5" s="10">
        <v>5321131</v>
      </c>
      <c r="E5" s="10">
        <v>1641150.61</v>
      </c>
      <c r="F5" s="10">
        <v>2837373.83</v>
      </c>
      <c r="G5" s="10">
        <v>2347603</v>
      </c>
    </row>
    <row r="6" spans="1:7" s="5" customFormat="1" x14ac:dyDescent="0.25">
      <c r="A6" s="3" t="s">
        <v>42</v>
      </c>
      <c r="B6" s="4" t="s">
        <v>93</v>
      </c>
      <c r="C6" s="10">
        <v>743961</v>
      </c>
      <c r="D6" s="10">
        <v>646516.45000000007</v>
      </c>
      <c r="E6" s="10">
        <v>938434.6</v>
      </c>
      <c r="F6" s="10">
        <v>1378851.25</v>
      </c>
      <c r="G6" s="10">
        <v>1728508</v>
      </c>
    </row>
    <row r="7" spans="1:7" s="5" customFormat="1" x14ac:dyDescent="0.25">
      <c r="A7" s="3" t="s">
        <v>43</v>
      </c>
      <c r="B7" s="4" t="s">
        <v>94</v>
      </c>
      <c r="C7" s="10"/>
      <c r="D7" s="10"/>
      <c r="E7" s="10">
        <v>4595624.0299999993</v>
      </c>
      <c r="F7" s="10">
        <v>7113214.0299999993</v>
      </c>
      <c r="G7" s="10">
        <v>9567814</v>
      </c>
    </row>
    <row r="8" spans="1:7" s="5" customFormat="1" x14ac:dyDescent="0.25">
      <c r="A8" s="3" t="s">
        <v>44</v>
      </c>
      <c r="B8" s="4" t="s">
        <v>95</v>
      </c>
      <c r="C8" s="10">
        <v>669679</v>
      </c>
      <c r="D8" s="10">
        <v>1593331.8679999998</v>
      </c>
      <c r="E8" s="10">
        <v>566278.35599999991</v>
      </c>
      <c r="F8" s="10">
        <v>1479978.2479999999</v>
      </c>
      <c r="G8" s="10">
        <v>3646403.99</v>
      </c>
    </row>
    <row r="9" spans="1:7" s="5" customFormat="1" x14ac:dyDescent="0.25">
      <c r="A9" s="3" t="s">
        <v>45</v>
      </c>
      <c r="B9" s="4" t="s">
        <v>96</v>
      </c>
      <c r="C9" s="10">
        <v>10859773</v>
      </c>
      <c r="D9" s="10">
        <v>8203513</v>
      </c>
      <c r="E9" s="10">
        <v>8805534</v>
      </c>
      <c r="F9" s="10">
        <v>10071016</v>
      </c>
      <c r="G9" s="10">
        <v>10730000</v>
      </c>
    </row>
    <row r="10" spans="1:7" s="5" customFormat="1" x14ac:dyDescent="0.25">
      <c r="A10" s="3" t="s">
        <v>46</v>
      </c>
      <c r="B10" s="4" t="s">
        <v>97</v>
      </c>
      <c r="C10" s="10">
        <v>10800000</v>
      </c>
      <c r="D10" s="10">
        <v>13400000</v>
      </c>
      <c r="E10" s="10">
        <v>16000000</v>
      </c>
      <c r="F10" s="10">
        <v>20340000</v>
      </c>
      <c r="G10" s="10">
        <v>22950000</v>
      </c>
    </row>
    <row r="11" spans="1:7" s="5" customFormat="1" x14ac:dyDescent="0.25">
      <c r="A11" s="3" t="s">
        <v>47</v>
      </c>
      <c r="B11" s="4" t="s">
        <v>98</v>
      </c>
      <c r="C11" s="10">
        <v>664738</v>
      </c>
      <c r="D11" s="10">
        <v>784621</v>
      </c>
      <c r="E11" s="10">
        <v>852355</v>
      </c>
      <c r="F11" s="10">
        <v>962192</v>
      </c>
      <c r="G11" s="10">
        <v>951670</v>
      </c>
    </row>
    <row r="12" spans="1:7" s="5" customFormat="1" x14ac:dyDescent="0.25">
      <c r="A12" s="3" t="s">
        <v>48</v>
      </c>
      <c r="B12" s="4" t="s">
        <v>99</v>
      </c>
      <c r="C12" s="10">
        <v>67978</v>
      </c>
      <c r="D12" s="10">
        <v>2168147</v>
      </c>
      <c r="E12" s="10">
        <v>1636617.53</v>
      </c>
      <c r="F12" s="10">
        <v>1337669.53</v>
      </c>
      <c r="G12" s="10">
        <v>2098316</v>
      </c>
    </row>
    <row r="13" spans="1:7" s="5" customFormat="1" x14ac:dyDescent="0.25">
      <c r="A13" s="3" t="s">
        <v>49</v>
      </c>
      <c r="B13" s="4" t="s">
        <v>100</v>
      </c>
      <c r="C13" s="10">
        <v>1519259.78</v>
      </c>
      <c r="D13" s="10">
        <v>1665232.3099999998</v>
      </c>
      <c r="E13" s="10">
        <v>1900879</v>
      </c>
      <c r="F13" s="10">
        <v>2244058</v>
      </c>
      <c r="G13" s="10">
        <v>2567812</v>
      </c>
    </row>
    <row r="14" spans="1:7" s="5" customFormat="1" x14ac:dyDescent="0.25">
      <c r="A14" s="3" t="s">
        <v>50</v>
      </c>
      <c r="B14" s="4" t="s">
        <v>101</v>
      </c>
      <c r="C14" s="10">
        <v>222383</v>
      </c>
      <c r="D14" s="10">
        <v>710627</v>
      </c>
      <c r="E14" s="10">
        <v>712720</v>
      </c>
      <c r="F14" s="10">
        <v>1269352</v>
      </c>
      <c r="G14" s="10">
        <v>1348500</v>
      </c>
    </row>
    <row r="15" spans="1:7" s="5" customFormat="1" x14ac:dyDescent="0.25">
      <c r="A15" s="3" t="s">
        <v>51</v>
      </c>
      <c r="B15" s="4" t="s">
        <v>102</v>
      </c>
      <c r="C15" s="10"/>
      <c r="D15" s="10">
        <v>460988.80000000005</v>
      </c>
      <c r="E15" s="10">
        <v>503737.59999999998</v>
      </c>
      <c r="F15" s="10">
        <v>506121.08999999985</v>
      </c>
      <c r="G15" s="10">
        <v>1487231</v>
      </c>
    </row>
    <row r="16" spans="1:7" s="5" customFormat="1" x14ac:dyDescent="0.25">
      <c r="A16" s="3" t="s">
        <v>52</v>
      </c>
      <c r="B16" s="4" t="s">
        <v>103</v>
      </c>
      <c r="C16" s="10">
        <v>3902398</v>
      </c>
      <c r="D16" s="10">
        <v>6399454</v>
      </c>
      <c r="E16" s="10">
        <v>7489471.21</v>
      </c>
      <c r="F16" s="10">
        <v>6788509.1299999999</v>
      </c>
      <c r="G16" s="10">
        <v>7540000</v>
      </c>
    </row>
    <row r="17" spans="1:7" s="5" customFormat="1" x14ac:dyDescent="0.25">
      <c r="A17" s="3" t="s">
        <v>53</v>
      </c>
      <c r="B17" s="4" t="s">
        <v>104</v>
      </c>
      <c r="C17" s="10">
        <v>659941</v>
      </c>
      <c r="D17" s="10">
        <v>1783445.8800000001</v>
      </c>
      <c r="E17" s="10">
        <v>2049724.21</v>
      </c>
      <c r="F17" s="10">
        <v>2701240.67</v>
      </c>
      <c r="G17" s="10">
        <v>4888450</v>
      </c>
    </row>
    <row r="18" spans="1:7" s="5" customFormat="1" x14ac:dyDescent="0.25">
      <c r="A18" s="3" t="s">
        <v>54</v>
      </c>
      <c r="B18" s="4" t="s">
        <v>105</v>
      </c>
      <c r="C18" s="10"/>
      <c r="D18" s="10"/>
      <c r="E18" s="10"/>
      <c r="F18" s="10">
        <v>2670532</v>
      </c>
      <c r="G18" s="10">
        <v>2589712</v>
      </c>
    </row>
    <row r="19" spans="1:7" s="5" customFormat="1" x14ac:dyDescent="0.25">
      <c r="A19" s="3" t="s">
        <v>55</v>
      </c>
      <c r="B19" s="4" t="s">
        <v>106</v>
      </c>
      <c r="C19" s="10">
        <v>1025092.75</v>
      </c>
      <c r="D19" s="10">
        <v>1148792.47</v>
      </c>
      <c r="E19" s="10">
        <v>1391020.57</v>
      </c>
      <c r="F19" s="10">
        <v>1547077.87</v>
      </c>
      <c r="G19" s="10">
        <v>262993</v>
      </c>
    </row>
    <row r="20" spans="1:7" s="5" customFormat="1" x14ac:dyDescent="0.25">
      <c r="A20" s="3" t="s">
        <v>56</v>
      </c>
      <c r="B20" s="4" t="s">
        <v>107</v>
      </c>
      <c r="C20" s="10">
        <v>346971</v>
      </c>
      <c r="D20" s="10">
        <v>2377132</v>
      </c>
      <c r="E20" s="10">
        <v>3432790.12</v>
      </c>
      <c r="F20" s="10">
        <v>4122000</v>
      </c>
      <c r="G20" s="10">
        <v>5264782</v>
      </c>
    </row>
    <row r="21" spans="1:7" s="5" customFormat="1" x14ac:dyDescent="0.25">
      <c r="A21" s="3" t="s">
        <v>57</v>
      </c>
      <c r="B21" s="4" t="s">
        <v>108</v>
      </c>
      <c r="C21" s="10">
        <v>356676</v>
      </c>
      <c r="D21" s="10">
        <v>538746</v>
      </c>
      <c r="E21" s="10">
        <v>857936</v>
      </c>
      <c r="F21" s="10">
        <v>1543555</v>
      </c>
      <c r="G21" s="10">
        <v>1568791</v>
      </c>
    </row>
    <row r="22" spans="1:7" s="5" customFormat="1" x14ac:dyDescent="0.25">
      <c r="A22" s="6"/>
      <c r="B22" s="7"/>
      <c r="C22" s="7"/>
      <c r="D22" s="7"/>
      <c r="E22" s="7"/>
      <c r="F22" s="7"/>
      <c r="G22" s="8"/>
    </row>
    <row r="23" spans="1:7" s="9" customFormat="1" x14ac:dyDescent="0.25">
      <c r="A23" s="1"/>
      <c r="B23" s="1"/>
      <c r="C23" s="1"/>
      <c r="D23" s="1"/>
      <c r="E23" s="1"/>
      <c r="F23" s="1"/>
    </row>
    <row r="24" spans="1:7" s="9" customFormat="1" x14ac:dyDescent="0.25">
      <c r="A24" s="1"/>
      <c r="B24" s="1"/>
      <c r="C24" s="1"/>
      <c r="D24" s="1"/>
      <c r="E24" s="1"/>
      <c r="F24" s="1"/>
    </row>
    <row r="25" spans="1:7" s="9" customFormat="1" x14ac:dyDescent="0.25">
      <c r="A25" s="1"/>
      <c r="B25" s="1"/>
      <c r="C25" s="1"/>
      <c r="D25" s="1"/>
      <c r="E25" s="1"/>
      <c r="F25" s="1"/>
    </row>
    <row r="26" spans="1:7" s="9" customFormat="1" x14ac:dyDescent="0.25">
      <c r="A26" s="1"/>
      <c r="B26" s="1"/>
      <c r="C26" s="1"/>
      <c r="D26" s="1"/>
      <c r="E26" s="1"/>
      <c r="F26" s="1"/>
    </row>
    <row r="27" spans="1:7" s="9" customFormat="1" x14ac:dyDescent="0.25">
      <c r="A27" s="1"/>
      <c r="B27" s="1"/>
      <c r="C27" s="1"/>
      <c r="D27" s="1"/>
      <c r="E27" s="1"/>
      <c r="F27" s="1"/>
    </row>
    <row r="28" spans="1:7" s="9" customFormat="1" x14ac:dyDescent="0.25">
      <c r="A28" s="1"/>
      <c r="B28" s="1"/>
      <c r="C28" s="1"/>
      <c r="D28" s="1"/>
      <c r="E28" s="1"/>
      <c r="F28" s="1"/>
    </row>
  </sheetData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8"/>
  <sheetViews>
    <sheetView showGridLines="0" zoomScale="80" zoomScaleNormal="80" zoomScalePageLayoutView="80" workbookViewId="0">
      <pane xSplit="1" ySplit="1" topLeftCell="B2" activePane="bottomRight" state="frozen"/>
      <selection pane="topRight" activeCell="I1" sqref="I1"/>
      <selection pane="bottomLeft" activeCell="A2" sqref="A2"/>
      <selection pane="bottomRight" activeCell="C18" sqref="C18:E18"/>
    </sheetView>
  </sheetViews>
  <sheetFormatPr defaultColWidth="9.109375" defaultRowHeight="13.2" x14ac:dyDescent="0.25"/>
  <cols>
    <col min="1" max="1" width="13.109375" style="1" customWidth="1"/>
    <col min="2" max="2" width="28.88671875" style="1" customWidth="1"/>
    <col min="3" max="6" width="16.109375" style="1" customWidth="1"/>
    <col min="7" max="7" width="16.109375" style="9" customWidth="1"/>
    <col min="8" max="10" width="16.109375" style="1" customWidth="1"/>
    <col min="11" max="16384" width="9.109375" style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</row>
    <row r="2" spans="1:10" s="5" customFormat="1" x14ac:dyDescent="0.25">
      <c r="A2" s="3" t="s">
        <v>38</v>
      </c>
      <c r="B2" s="4" t="s">
        <v>89</v>
      </c>
      <c r="C2" s="40">
        <f>Tabla381011241726[[#This Row],[2011]]-Tabla38101124172656[[#This Row],[2011]]</f>
        <v>761654.56999999983</v>
      </c>
      <c r="D2" s="40">
        <f>Tabla381011241726[[#This Row],[2012]]-Tabla38101124172656[[#This Row],[2012]]</f>
        <v>578117.05000000028</v>
      </c>
      <c r="E2" s="40">
        <f>Tabla381011241726[[#This Row],[2013]]-Tabla38101124172656[[#This Row],[2013]]</f>
        <v>592560.25</v>
      </c>
      <c r="F2" s="40">
        <f>Tabla381011241726[[#This Row],[2014]]-Tabla38101124172656[[#This Row],[2014]]</f>
        <v>550859.85999999987</v>
      </c>
      <c r="G2" s="40">
        <f>Tabla381011241726[[#This Row],[2015]]-Tabla38101124172656[[#This Row],[2015]]</f>
        <v>966088.56000000052</v>
      </c>
      <c r="H2" s="10"/>
      <c r="I2" s="10"/>
      <c r="J2" s="11"/>
    </row>
    <row r="3" spans="1:10" s="5" customFormat="1" x14ac:dyDescent="0.25">
      <c r="A3" s="3" t="s">
        <v>39</v>
      </c>
      <c r="B3" s="4" t="s">
        <v>90</v>
      </c>
      <c r="C3" s="40">
        <f>Tabla381011241726[[#This Row],[2011]]-Tabla38101124172656[[#This Row],[2011]]</f>
        <v>51352</v>
      </c>
      <c r="D3" s="40">
        <f>Tabla381011241726[[#This Row],[2012]]-Tabla38101124172656[[#This Row],[2012]]</f>
        <v>-393162</v>
      </c>
      <c r="E3" s="40">
        <f>Tabla381011241726[[#This Row],[2013]]-Tabla38101124172656[[#This Row],[2013]]</f>
        <v>-162239</v>
      </c>
      <c r="F3" s="40">
        <f>Tabla381011241726[[#This Row],[2014]]-Tabla38101124172656[[#This Row],[2014]]</f>
        <v>42905</v>
      </c>
      <c r="G3" s="40">
        <f>Tabla381011241726[[#This Row],[2015]]-Tabla38101124172656[[#This Row],[2015]]</f>
        <v>51352</v>
      </c>
      <c r="H3" s="10"/>
      <c r="I3" s="10"/>
      <c r="J3" s="11"/>
    </row>
    <row r="4" spans="1:10" s="5" customFormat="1" x14ac:dyDescent="0.25">
      <c r="A4" s="3" t="s">
        <v>40</v>
      </c>
      <c r="B4" s="4" t="s">
        <v>91</v>
      </c>
      <c r="C4" s="40">
        <f>Tabla381011241726[[#This Row],[2011]]-Tabla38101124172656[[#This Row],[2011]]</f>
        <v>252706.09999999963</v>
      </c>
      <c r="D4" s="40">
        <f>Tabla381011241726[[#This Row],[2012]]-Tabla38101124172656[[#This Row],[2012]]</f>
        <v>230206.84999999963</v>
      </c>
      <c r="E4" s="40">
        <f>Tabla381011241726[[#This Row],[2013]]-Tabla38101124172656[[#This Row],[2013]]</f>
        <v>934363.02000000048</v>
      </c>
      <c r="F4" s="40">
        <f>Tabla381011241726[[#This Row],[2014]]-Tabla38101124172656[[#This Row],[2014]]</f>
        <v>1062537.02</v>
      </c>
      <c r="G4" s="40">
        <f>Tabla381011241726[[#This Row],[2015]]-Tabla38101124172656[[#This Row],[2015]]</f>
        <v>925298</v>
      </c>
      <c r="H4" s="10"/>
      <c r="I4" s="10"/>
      <c r="J4" s="11"/>
    </row>
    <row r="5" spans="1:10" s="5" customFormat="1" x14ac:dyDescent="0.25">
      <c r="A5" s="3" t="s">
        <v>41</v>
      </c>
      <c r="B5" s="4" t="s">
        <v>92</v>
      </c>
      <c r="C5" s="40">
        <f>Tabla381011241726[[#This Row],[2011]]-Tabla38101124172656[[#This Row],[2011]]</f>
        <v>120098</v>
      </c>
      <c r="D5" s="40">
        <f>Tabla381011241726[[#This Row],[2012]]-Tabla38101124172656[[#This Row],[2012]]</f>
        <v>206832</v>
      </c>
      <c r="E5" s="40">
        <f>Tabla381011241726[[#This Row],[2013]]-Tabla38101124172656[[#This Row],[2013]]</f>
        <v>59243.169999999925</v>
      </c>
      <c r="F5" s="40">
        <f>Tabla381011241726[[#This Row],[2014]]-Tabla38101124172656[[#This Row],[2014]]</f>
        <v>234496.02000000002</v>
      </c>
      <c r="G5" s="40">
        <f>Tabla381011241726[[#This Row],[2015]]-Tabla38101124172656[[#This Row],[2015]]</f>
        <v>230104</v>
      </c>
      <c r="H5" s="10"/>
      <c r="I5" s="10"/>
      <c r="J5" s="11"/>
    </row>
    <row r="6" spans="1:10" s="5" customFormat="1" x14ac:dyDescent="0.25">
      <c r="A6" s="3" t="s">
        <v>42</v>
      </c>
      <c r="B6" s="4" t="s">
        <v>93</v>
      </c>
      <c r="C6" s="40">
        <f>Tabla381011241726[[#This Row],[2011]]-Tabla38101124172656[[#This Row],[2011]]</f>
        <v>39156</v>
      </c>
      <c r="D6" s="40">
        <f>Tabla381011241726[[#This Row],[2012]]-Tabla38101124172656[[#This Row],[2012]]</f>
        <v>87438.339999999967</v>
      </c>
      <c r="E6" s="40">
        <f>Tabla381011241726[[#This Row],[2013]]-Tabla38101124172656[[#This Row],[2013]]</f>
        <v>62460.030000000028</v>
      </c>
      <c r="F6" s="40">
        <f>Tabla381011241726[[#This Row],[2014]]-Tabla38101124172656[[#This Row],[2014]]</f>
        <v>24777.020000000019</v>
      </c>
      <c r="G6" s="40">
        <f>Tabla381011241726[[#This Row],[2015]]-Tabla38101124172656[[#This Row],[2015]]</f>
        <v>235706</v>
      </c>
      <c r="H6" s="10"/>
      <c r="I6" s="10"/>
      <c r="J6" s="11"/>
    </row>
    <row r="7" spans="1:10" s="5" customFormat="1" x14ac:dyDescent="0.25">
      <c r="A7" s="3" t="s">
        <v>43</v>
      </c>
      <c r="B7" s="4" t="s">
        <v>94</v>
      </c>
      <c r="C7" s="40"/>
      <c r="D7" s="40"/>
      <c r="E7" s="40">
        <f>Tabla381011241726[[#This Row],[2013]]-Tabla38101124172656[[#This Row],[2013]]</f>
        <v>2232872.9700000007</v>
      </c>
      <c r="F7" s="40">
        <f>Tabla381011241726[[#This Row],[2014]]-Tabla38101124172656[[#This Row],[2014]]</f>
        <v>2232872.9700000007</v>
      </c>
      <c r="G7" s="40">
        <f>Tabla381011241726[[#This Row],[2015]]-Tabla38101124172656[[#This Row],[2015]]</f>
        <v>2232872.9700000007</v>
      </c>
      <c r="H7" s="10"/>
      <c r="I7" s="10"/>
      <c r="J7" s="11"/>
    </row>
    <row r="8" spans="1:10" s="5" customFormat="1" x14ac:dyDescent="0.25">
      <c r="A8" s="3" t="s">
        <v>44</v>
      </c>
      <c r="B8" s="4" t="s">
        <v>95</v>
      </c>
      <c r="C8" s="40">
        <f>Tabla381011241726[[#This Row],[2011]]-Tabla38101124172656[[#This Row],[2011]]</f>
        <v>-99800</v>
      </c>
      <c r="D8" s="40">
        <f>Tabla381011241726[[#This Row],[2012]]-Tabla38101124172656[[#This Row],[2012]]</f>
        <v>83859.540000000037</v>
      </c>
      <c r="E8" s="40">
        <f>Tabla381011241726[[#This Row],[2013]]-Tabla38101124172656[[#This Row],[2013]]</f>
        <v>36145.447999999975</v>
      </c>
      <c r="F8" s="40">
        <f>Tabla381011241726[[#This Row],[2014]]-Tabla38101124172656[[#This Row],[2014]]</f>
        <v>111396.23999999999</v>
      </c>
      <c r="G8" s="40">
        <f>Tabla381011241726[[#This Row],[2015]]-Tabla38101124172656[[#This Row],[2015]]</f>
        <v>497236.90999999968</v>
      </c>
      <c r="H8" s="10"/>
      <c r="I8" s="10"/>
      <c r="J8" s="11"/>
    </row>
    <row r="9" spans="1:10" s="5" customFormat="1" x14ac:dyDescent="0.25">
      <c r="A9" s="3" t="s">
        <v>45</v>
      </c>
      <c r="B9" s="4" t="s">
        <v>96</v>
      </c>
      <c r="C9" s="40">
        <f>Tabla381011241726[[#This Row],[2011]]-Tabla38101124172656[[#This Row],[2011]]</f>
        <v>270000</v>
      </c>
      <c r="D9" s="40">
        <f>Tabla381011241726[[#This Row],[2012]]-Tabla38101124172656[[#This Row],[2012]]</f>
        <v>283000</v>
      </c>
      <c r="E9" s="40">
        <f>Tabla381011241726[[#This Row],[2013]]-Tabla38101124172656[[#This Row],[2013]]</f>
        <v>411000</v>
      </c>
      <c r="F9" s="40">
        <f>Tabla381011241726[[#This Row],[2014]]-Tabla38101124172656[[#This Row],[2014]]</f>
        <v>260000</v>
      </c>
      <c r="G9" s="40">
        <f>Tabla381011241726[[#This Row],[2015]]-Tabla38101124172656[[#This Row],[2015]]</f>
        <v>270000</v>
      </c>
      <c r="H9" s="10"/>
      <c r="I9" s="10"/>
      <c r="J9" s="11"/>
    </row>
    <row r="10" spans="1:10" s="5" customFormat="1" x14ac:dyDescent="0.25">
      <c r="A10" s="3" t="s">
        <v>46</v>
      </c>
      <c r="B10" s="4" t="s">
        <v>97</v>
      </c>
      <c r="C10" s="40">
        <f>Tabla381011241726[[#This Row],[2011]]-Tabla38101124172656[[#This Row],[2011]]</f>
        <v>1200000</v>
      </c>
      <c r="D10" s="40">
        <f>Tabla381011241726[[#This Row],[2012]]-Tabla38101124172656[[#This Row],[2012]]</f>
        <v>1600000</v>
      </c>
      <c r="E10" s="40">
        <f>Tabla381011241726[[#This Row],[2013]]-Tabla38101124172656[[#This Row],[2013]]</f>
        <v>2000000</v>
      </c>
      <c r="F10" s="40">
        <f>Tabla381011241726[[#This Row],[2014]]-Tabla38101124172656[[#This Row],[2014]]</f>
        <v>1010000</v>
      </c>
      <c r="G10" s="40">
        <f>Tabla381011241726[[#This Row],[2015]]-Tabla38101124172656[[#This Row],[2015]]</f>
        <v>1050000</v>
      </c>
      <c r="H10" s="10"/>
      <c r="I10" s="10"/>
      <c r="J10" s="11"/>
    </row>
    <row r="11" spans="1:10" s="5" customFormat="1" x14ac:dyDescent="0.25">
      <c r="A11" s="3" t="s">
        <v>47</v>
      </c>
      <c r="B11" s="4" t="s">
        <v>98</v>
      </c>
      <c r="C11" s="40">
        <f>Tabla381011241726[[#This Row],[2011]]-Tabla38101124172656[[#This Row],[2011]]</f>
        <v>271512</v>
      </c>
      <c r="D11" s="40">
        <f>Tabla381011241726[[#This Row],[2012]]-Tabla38101124172656[[#This Row],[2012]]</f>
        <v>320479</v>
      </c>
      <c r="E11" s="40">
        <f>Tabla381011241726[[#This Row],[2013]]-Tabla38101124172656[[#This Row],[2013]]</f>
        <v>348145</v>
      </c>
      <c r="F11" s="40">
        <f>Tabla381011241726[[#This Row],[2014]]-Tabla38101124172656[[#This Row],[2014]]</f>
        <v>393008</v>
      </c>
      <c r="G11" s="40">
        <f>Tabla381011241726[[#This Row],[2015]]-Tabla38101124172656[[#This Row],[2015]]</f>
        <v>158403</v>
      </c>
      <c r="H11" s="10"/>
      <c r="I11" s="10"/>
      <c r="J11" s="11"/>
    </row>
    <row r="12" spans="1:10" s="5" customFormat="1" x14ac:dyDescent="0.25">
      <c r="A12" s="3" t="s">
        <v>48</v>
      </c>
      <c r="B12" s="4" t="s">
        <v>99</v>
      </c>
      <c r="C12" s="40">
        <f>Tabla381011241726[[#This Row],[2011]]-Tabla38101124172656[[#This Row],[2011]]</f>
        <v>501000</v>
      </c>
      <c r="D12" s="40">
        <f>Tabla381011241726[[#This Row],[2012]]-Tabla38101124172656[[#This Row],[2012]]</f>
        <v>400594</v>
      </c>
      <c r="E12" s="40">
        <f>Tabla381011241726[[#This Row],[2013]]-Tabla38101124172656[[#This Row],[2013]]</f>
        <v>120537.08000000007</v>
      </c>
      <c r="F12" s="40">
        <f>Tabla381011241726[[#This Row],[2014]]-Tabla38101124172656[[#This Row],[2014]]</f>
        <v>68812.739999999991</v>
      </c>
      <c r="G12" s="40">
        <f>Tabla381011241726[[#This Row],[2015]]-Tabla38101124172656[[#This Row],[2015]]</f>
        <v>278372</v>
      </c>
      <c r="H12" s="10"/>
      <c r="I12" s="10"/>
      <c r="J12" s="11"/>
    </row>
    <row r="13" spans="1:10" s="5" customFormat="1" x14ac:dyDescent="0.25">
      <c r="A13" s="3" t="s">
        <v>49</v>
      </c>
      <c r="B13" s="4" t="s">
        <v>100</v>
      </c>
      <c r="C13" s="40">
        <f>Tabla381011241726[[#This Row],[2011]]-Tabla38101124172656[[#This Row],[2011]]</f>
        <v>71758.709999999963</v>
      </c>
      <c r="D13" s="40">
        <f>Tabla381011241726[[#This Row],[2012]]-Tabla38101124172656[[#This Row],[2012]]</f>
        <v>165398.59000000008</v>
      </c>
      <c r="E13" s="40">
        <f>Tabla381011241726[[#This Row],[2013]]-Tabla38101124172656[[#This Row],[2013]]</f>
        <v>461542</v>
      </c>
      <c r="F13" s="40">
        <f>Tabla381011241726[[#This Row],[2014]]-Tabla38101124172656[[#This Row],[2014]]</f>
        <v>383366</v>
      </c>
      <c r="G13" s="40">
        <f>Tabla381011241726[[#This Row],[2015]]-Tabla38101124172656[[#This Row],[2015]]</f>
        <v>2062</v>
      </c>
      <c r="H13" s="10"/>
      <c r="I13" s="10"/>
      <c r="J13" s="11"/>
    </row>
    <row r="14" spans="1:10" s="5" customFormat="1" x14ac:dyDescent="0.25">
      <c r="A14" s="3" t="s">
        <v>50</v>
      </c>
      <c r="B14" s="4" t="s">
        <v>101</v>
      </c>
      <c r="C14" s="40">
        <f>Tabla381011241726[[#This Row],[2011]]-Tabla38101124172656[[#This Row],[2011]]</f>
        <v>-50000</v>
      </c>
      <c r="D14" s="40">
        <f>Tabla381011241726[[#This Row],[2012]]-Tabla38101124172656[[#This Row],[2012]]</f>
        <v>-50000</v>
      </c>
      <c r="E14" s="40">
        <f>Tabla381011241726[[#This Row],[2013]]-Tabla38101124172656[[#This Row],[2013]]</f>
        <v>20433</v>
      </c>
      <c r="F14" s="40">
        <f>Tabla381011241726[[#This Row],[2014]]-Tabla38101124172656[[#This Row],[2014]]</f>
        <v>132248</v>
      </c>
      <c r="G14" s="40">
        <f>Tabla381011241726[[#This Row],[2015]]-Tabla38101124172656[[#This Row],[2015]]</f>
        <v>295050</v>
      </c>
      <c r="H14" s="10"/>
      <c r="I14" s="10"/>
      <c r="J14" s="11"/>
    </row>
    <row r="15" spans="1:10" s="5" customFormat="1" x14ac:dyDescent="0.25">
      <c r="A15" s="3" t="s">
        <v>51</v>
      </c>
      <c r="B15" s="4" t="s">
        <v>102</v>
      </c>
      <c r="C15" s="40"/>
      <c r="D15" s="40">
        <f>Tabla381011241726[[#This Row],[2012]]-Tabla38101124172656[[#This Row],[2012]]</f>
        <v>691484.28</v>
      </c>
      <c r="E15" s="40">
        <f>Tabla381011241726[[#This Row],[2013]]-Tabla38101124172656[[#This Row],[2013]]</f>
        <v>755606.4</v>
      </c>
      <c r="F15" s="40">
        <f>Tabla381011241726[[#This Row],[2014]]-Tabla38101124172656[[#This Row],[2014]]</f>
        <v>759181.56</v>
      </c>
      <c r="G15" s="40">
        <f>Tabla381011241726[[#This Row],[2015]]-Tabla38101124172656[[#This Row],[2015]]</f>
        <v>297383</v>
      </c>
      <c r="H15" s="10"/>
      <c r="I15" s="10"/>
      <c r="J15" s="11"/>
    </row>
    <row r="16" spans="1:10" s="5" customFormat="1" x14ac:dyDescent="0.25">
      <c r="A16" s="3" t="s">
        <v>52</v>
      </c>
      <c r="B16" s="4" t="s">
        <v>103</v>
      </c>
      <c r="C16" s="40">
        <f>Tabla381011241726[[#This Row],[2011]]-Tabla38101124172656[[#This Row],[2011]]</f>
        <v>33315</v>
      </c>
      <c r="D16" s="40">
        <f>Tabla381011241726[[#This Row],[2012]]-Tabla38101124172656[[#This Row],[2012]]</f>
        <v>240732</v>
      </c>
      <c r="E16" s="40">
        <f>Tabla381011241726[[#This Row],[2013]]-Tabla38101124172656[[#This Row],[2013]]</f>
        <v>338135.95000000019</v>
      </c>
      <c r="F16" s="40">
        <f>Tabla381011241726[[#This Row],[2014]]-Tabla38101124172656[[#This Row],[2014]]</f>
        <v>234490.87000000011</v>
      </c>
      <c r="G16" s="40">
        <f>Tabla381011241726[[#This Row],[2015]]-Tabla38101124172656[[#This Row],[2015]]</f>
        <v>700000</v>
      </c>
      <c r="H16" s="10"/>
      <c r="I16" s="10"/>
      <c r="J16" s="11"/>
    </row>
    <row r="17" spans="1:11" s="5" customFormat="1" x14ac:dyDescent="0.25">
      <c r="A17" s="3" t="s">
        <v>53</v>
      </c>
      <c r="B17" s="4" t="s">
        <v>104</v>
      </c>
      <c r="C17" s="40">
        <f>Tabla381011241726[[#This Row],[2011]]-Tabla38101124172656[[#This Row],[2011]]</f>
        <v>-91000</v>
      </c>
      <c r="D17" s="40">
        <f>Tabla381011241726[[#This Row],[2012]]-Tabla38101124172656[[#This Row],[2012]]</f>
        <v>144690.20999999996</v>
      </c>
      <c r="E17" s="40">
        <f>Tabla381011241726[[#This Row],[2013]]-Tabla38101124172656[[#This Row],[2013]]</f>
        <v>156674.29000000004</v>
      </c>
      <c r="F17" s="40">
        <f>Tabla381011241726[[#This Row],[2014]]-Tabla38101124172656[[#This Row],[2014]]</f>
        <v>203437.4700000002</v>
      </c>
      <c r="G17" s="40">
        <f>Tabla381011241726[[#This Row],[2015]]-Tabla38101124172656[[#This Row],[2015]]</f>
        <v>263694</v>
      </c>
      <c r="H17" s="10"/>
      <c r="I17" s="10"/>
      <c r="J17" s="11"/>
    </row>
    <row r="18" spans="1:11" s="5" customFormat="1" x14ac:dyDescent="0.25">
      <c r="A18" s="3" t="s">
        <v>54</v>
      </c>
      <c r="B18" s="4" t="s">
        <v>105</v>
      </c>
      <c r="C18" s="40"/>
      <c r="D18" s="40"/>
      <c r="E18" s="40"/>
      <c r="F18" s="40">
        <f>Tabla381011241726[[#This Row],[2014]]-Tabla38101124172656[[#This Row],[2014]]</f>
        <v>16217</v>
      </c>
      <c r="G18" s="40">
        <f>Tabla381011241726[[#This Row],[2015]]-Tabla38101124172656[[#This Row],[2015]]</f>
        <v>397703</v>
      </c>
      <c r="H18" s="10"/>
      <c r="I18" s="10"/>
      <c r="J18" s="11"/>
    </row>
    <row r="19" spans="1:11" s="5" customFormat="1" x14ac:dyDescent="0.25">
      <c r="A19" s="3" t="s">
        <v>55</v>
      </c>
      <c r="B19" s="4" t="s">
        <v>106</v>
      </c>
      <c r="C19" s="40">
        <f>Tabla381011241726[[#This Row],[2011]]-Tabla38101124172656[[#This Row],[2011]]</f>
        <v>259397.74</v>
      </c>
      <c r="D19" s="40">
        <f>Tabla381011241726[[#This Row],[2012]]-Tabla38101124172656[[#This Row],[2012]]</f>
        <v>395022.07000000007</v>
      </c>
      <c r="E19" s="40">
        <f>Tabla381011241726[[#This Row],[2013]]-Tabla38101124172656[[#This Row],[2013]]</f>
        <v>658503.26</v>
      </c>
      <c r="F19" s="40">
        <f>Tabla381011241726[[#This Row],[2014]]-Tabla38101124172656[[#This Row],[2014]]</f>
        <v>852533.31</v>
      </c>
      <c r="G19" s="40">
        <f>Tabla381011241726[[#This Row],[2015]]-Tabla38101124172656[[#This Row],[2015]]</f>
        <v>390847</v>
      </c>
      <c r="H19" s="10"/>
      <c r="I19" s="10"/>
      <c r="J19" s="11"/>
    </row>
    <row r="20" spans="1:11" s="5" customFormat="1" x14ac:dyDescent="0.25">
      <c r="A20" s="3" t="s">
        <v>56</v>
      </c>
      <c r="B20" s="4" t="s">
        <v>107</v>
      </c>
      <c r="C20" s="40">
        <f>Tabla381011241726[[#This Row],[2011]]-Tabla38101124172656[[#This Row],[2011]]</f>
        <v>9900</v>
      </c>
      <c r="D20" s="40">
        <f>Tabla381011241726[[#This Row],[2012]]-Tabla38101124172656[[#This Row],[2012]]</f>
        <v>200999</v>
      </c>
      <c r="E20" s="40">
        <f>Tabla381011241726[[#This Row],[2013]]-Tabla38101124172656[[#This Row],[2013]]</f>
        <v>80000</v>
      </c>
      <c r="F20" s="40">
        <f>Tabla381011241726[[#This Row],[2014]]-Tabla38101124172656[[#This Row],[2014]]</f>
        <v>400000</v>
      </c>
      <c r="G20" s="40">
        <f>Tabla381011241726[[#This Row],[2015]]-Tabla38101124172656[[#This Row],[2015]]</f>
        <v>-2040782</v>
      </c>
      <c r="H20" s="10"/>
      <c r="I20" s="10"/>
      <c r="J20" s="11"/>
    </row>
    <row r="21" spans="1:11" s="5" customFormat="1" x14ac:dyDescent="0.25">
      <c r="A21" s="3" t="s">
        <v>57</v>
      </c>
      <c r="B21" s="4" t="s">
        <v>108</v>
      </c>
      <c r="C21" s="40">
        <f>Tabla381011241726[[#This Row],[2011]]-Tabla38101124172656[[#This Row],[2011]]</f>
        <v>-99805</v>
      </c>
      <c r="D21" s="40">
        <f>Tabla381011241726[[#This Row],[2012]]-Tabla38101124172656[[#This Row],[2012]]</f>
        <v>119999</v>
      </c>
      <c r="E21" s="40">
        <f>Tabla381011241726[[#This Row],[2013]]-Tabla38101124172656[[#This Row],[2013]]</f>
        <v>-98990</v>
      </c>
      <c r="F21" s="40">
        <f>Tabla381011241726[[#This Row],[2014]]-Tabla38101124172656[[#This Row],[2014]]</f>
        <v>-200030</v>
      </c>
      <c r="G21" s="40">
        <f>Tabla381011241726[[#This Row],[2015]]-Tabla38101124172656[[#This Row],[2015]]</f>
        <v>221041</v>
      </c>
      <c r="H21" s="10"/>
      <c r="I21" s="10"/>
      <c r="J21" s="11"/>
    </row>
    <row r="22" spans="1:11" s="5" customFormat="1" x14ac:dyDescent="0.25">
      <c r="A22" s="6"/>
      <c r="B22" s="7"/>
      <c r="C22" s="7"/>
      <c r="D22" s="7"/>
      <c r="E22" s="7"/>
      <c r="F22" s="7"/>
      <c r="G22" s="8"/>
      <c r="H22" s="7"/>
      <c r="I22" s="7"/>
      <c r="J22" s="7"/>
    </row>
    <row r="23" spans="1:11" s="9" customFormat="1" x14ac:dyDescent="0.25">
      <c r="A23" s="1"/>
      <c r="B23" s="1"/>
      <c r="C23" s="1"/>
      <c r="D23" s="1"/>
      <c r="E23" s="1"/>
      <c r="F23" s="1"/>
      <c r="H23" s="1"/>
      <c r="I23" s="1"/>
      <c r="J23" s="1"/>
      <c r="K23" s="1"/>
    </row>
    <row r="24" spans="1:11" s="9" customFormat="1" x14ac:dyDescent="0.25">
      <c r="A24" s="1"/>
      <c r="B24" s="1"/>
      <c r="C24" s="1"/>
      <c r="D24" s="1"/>
      <c r="E24" s="1"/>
      <c r="F24" s="1"/>
      <c r="H24" s="1"/>
      <c r="I24" s="1"/>
      <c r="J24" s="1"/>
      <c r="K24" s="1"/>
    </row>
    <row r="25" spans="1:11" s="9" customFormat="1" x14ac:dyDescent="0.25">
      <c r="A25" s="1"/>
      <c r="B25" s="1"/>
      <c r="C25" s="1"/>
      <c r="D25" s="1"/>
      <c r="E25" s="1"/>
      <c r="F25" s="1"/>
      <c r="H25" s="1"/>
      <c r="I25" s="1"/>
      <c r="J25" s="1"/>
      <c r="K25" s="1"/>
    </row>
    <row r="26" spans="1:11" s="9" customFormat="1" x14ac:dyDescent="0.25">
      <c r="A26" s="1"/>
      <c r="B26" s="1"/>
      <c r="C26" s="1"/>
      <c r="D26" s="1"/>
      <c r="E26" s="1"/>
      <c r="F26" s="1"/>
      <c r="H26" s="1"/>
      <c r="I26" s="1"/>
      <c r="J26" s="1"/>
      <c r="K26" s="1"/>
    </row>
    <row r="27" spans="1:11" s="9" customFormat="1" x14ac:dyDescent="0.25">
      <c r="A27" s="1"/>
      <c r="B27" s="1"/>
      <c r="C27" s="1"/>
      <c r="D27" s="1"/>
      <c r="E27" s="1"/>
      <c r="F27" s="1"/>
      <c r="H27" s="1"/>
      <c r="I27" s="1"/>
      <c r="J27" s="1"/>
      <c r="K27" s="1"/>
    </row>
    <row r="28" spans="1:11" s="9" customFormat="1" x14ac:dyDescent="0.25">
      <c r="A28" s="1"/>
      <c r="B28" s="1"/>
      <c r="C28" s="1"/>
      <c r="D28" s="1"/>
      <c r="E28" s="1"/>
      <c r="F28" s="1"/>
      <c r="H28" s="1"/>
      <c r="I28" s="1"/>
      <c r="J28" s="1"/>
      <c r="K28" s="1"/>
    </row>
  </sheetData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showGridLines="0" zoomScale="80" zoomScaleNormal="80" zoomScalePageLayoutView="80" workbookViewId="0">
      <pane xSplit="3" ySplit="1" topLeftCell="D6" activePane="bottomRight" state="frozen"/>
      <selection pane="topRight" activeCell="I1" sqref="I1"/>
      <selection pane="bottomLeft" activeCell="A2" sqref="A2"/>
      <selection pane="bottomRight" activeCell="B26" sqref="B26:D31"/>
    </sheetView>
  </sheetViews>
  <sheetFormatPr defaultColWidth="9.109375" defaultRowHeight="13.2" x14ac:dyDescent="0.25"/>
  <cols>
    <col min="1" max="1" width="13.109375" style="1" customWidth="1"/>
    <col min="2" max="2" width="19" style="2" bestFit="1" customWidth="1"/>
    <col min="3" max="3" width="28.88671875" style="1" bestFit="1" customWidth="1"/>
    <col min="4" max="4" width="28.88671875" style="1" customWidth="1"/>
    <col min="5" max="16384" width="9.109375" style="1"/>
  </cols>
  <sheetData>
    <row r="1" spans="1:5" x14ac:dyDescent="0.25">
      <c r="A1" s="1" t="s">
        <v>0</v>
      </c>
      <c r="B1" s="2" t="s">
        <v>7</v>
      </c>
      <c r="C1" s="2" t="s">
        <v>8</v>
      </c>
      <c r="D1" s="2" t="s">
        <v>1</v>
      </c>
      <c r="E1" s="2" t="s">
        <v>9</v>
      </c>
    </row>
    <row r="2" spans="1:5" s="5" customFormat="1" x14ac:dyDescent="0.25">
      <c r="A2" s="3" t="s">
        <v>38</v>
      </c>
      <c r="B2" s="4" t="s">
        <v>58</v>
      </c>
      <c r="C2" s="4" t="s">
        <v>69</v>
      </c>
      <c r="D2" s="4" t="s">
        <v>89</v>
      </c>
      <c r="E2" s="4" t="s">
        <v>13</v>
      </c>
    </row>
    <row r="3" spans="1:5" s="5" customFormat="1" x14ac:dyDescent="0.25">
      <c r="A3" s="3" t="s">
        <v>39</v>
      </c>
      <c r="B3" s="4" t="s">
        <v>17</v>
      </c>
      <c r="C3" s="4" t="s">
        <v>70</v>
      </c>
      <c r="D3" s="4" t="s">
        <v>90</v>
      </c>
      <c r="E3" s="4" t="s">
        <v>13</v>
      </c>
    </row>
    <row r="4" spans="1:5" s="5" customFormat="1" x14ac:dyDescent="0.25">
      <c r="A4" s="3" t="s">
        <v>40</v>
      </c>
      <c r="B4" s="4" t="s">
        <v>59</v>
      </c>
      <c r="C4" s="4" t="s">
        <v>71</v>
      </c>
      <c r="D4" s="4" t="s">
        <v>91</v>
      </c>
      <c r="E4" s="4" t="s">
        <v>16</v>
      </c>
    </row>
    <row r="5" spans="1:5" s="5" customFormat="1" x14ac:dyDescent="0.25">
      <c r="A5" s="3" t="s">
        <v>41</v>
      </c>
      <c r="B5" s="4" t="s">
        <v>60</v>
      </c>
      <c r="C5" s="4" t="s">
        <v>72</v>
      </c>
      <c r="D5" s="4" t="s">
        <v>92</v>
      </c>
      <c r="E5" s="4" t="s">
        <v>18</v>
      </c>
    </row>
    <row r="6" spans="1:5" s="5" customFormat="1" x14ac:dyDescent="0.25">
      <c r="A6" s="3" t="s">
        <v>42</v>
      </c>
      <c r="B6" s="4" t="s">
        <v>23</v>
      </c>
      <c r="C6" s="4" t="s">
        <v>73</v>
      </c>
      <c r="D6" s="4" t="s">
        <v>93</v>
      </c>
      <c r="E6" s="4" t="s">
        <v>11</v>
      </c>
    </row>
    <row r="7" spans="1:5" s="5" customFormat="1" x14ac:dyDescent="0.25">
      <c r="A7" s="3" t="s">
        <v>43</v>
      </c>
      <c r="B7" s="4" t="s">
        <v>12</v>
      </c>
      <c r="C7" s="4" t="s">
        <v>74</v>
      </c>
      <c r="D7" s="4" t="s">
        <v>94</v>
      </c>
      <c r="E7" s="4" t="s">
        <v>13</v>
      </c>
    </row>
    <row r="8" spans="1:5" s="5" customFormat="1" x14ac:dyDescent="0.25">
      <c r="A8" s="3" t="s">
        <v>44</v>
      </c>
      <c r="B8" s="4" t="s">
        <v>61</v>
      </c>
      <c r="C8" s="4" t="s">
        <v>75</v>
      </c>
      <c r="D8" s="4" t="s">
        <v>95</v>
      </c>
      <c r="E8" s="4" t="s">
        <v>18</v>
      </c>
    </row>
    <row r="9" spans="1:5" s="5" customFormat="1" x14ac:dyDescent="0.25">
      <c r="A9" s="3" t="s">
        <v>45</v>
      </c>
      <c r="B9" s="4" t="s">
        <v>10</v>
      </c>
      <c r="C9" s="4" t="s">
        <v>76</v>
      </c>
      <c r="D9" s="4" t="s">
        <v>96</v>
      </c>
      <c r="E9" s="4" t="s">
        <v>11</v>
      </c>
    </row>
    <row r="10" spans="1:5" s="5" customFormat="1" x14ac:dyDescent="0.25">
      <c r="A10" s="3" t="s">
        <v>46</v>
      </c>
      <c r="B10" s="4" t="s">
        <v>22</v>
      </c>
      <c r="C10" s="4" t="s">
        <v>77</v>
      </c>
      <c r="D10" s="4" t="s">
        <v>97</v>
      </c>
      <c r="E10" s="4" t="s">
        <v>19</v>
      </c>
    </row>
    <row r="11" spans="1:5" s="5" customFormat="1" x14ac:dyDescent="0.25">
      <c r="A11" s="3" t="s">
        <v>47</v>
      </c>
      <c r="B11" s="4" t="s">
        <v>62</v>
      </c>
      <c r="C11" s="4" t="s">
        <v>78</v>
      </c>
      <c r="D11" s="4" t="s">
        <v>98</v>
      </c>
      <c r="E11" s="4" t="s">
        <v>11</v>
      </c>
    </row>
    <row r="12" spans="1:5" s="5" customFormat="1" x14ac:dyDescent="0.25">
      <c r="A12" s="3" t="s">
        <v>48</v>
      </c>
      <c r="B12" s="4" t="s">
        <v>14</v>
      </c>
      <c r="C12" s="4" t="s">
        <v>79</v>
      </c>
      <c r="D12" s="4" t="s">
        <v>99</v>
      </c>
      <c r="E12" s="4" t="s">
        <v>13</v>
      </c>
    </row>
    <row r="13" spans="1:5" s="5" customFormat="1" x14ac:dyDescent="0.25">
      <c r="A13" s="3" t="s">
        <v>49</v>
      </c>
      <c r="B13" s="4" t="s">
        <v>20</v>
      </c>
      <c r="C13" s="4" t="s">
        <v>80</v>
      </c>
      <c r="D13" s="4" t="s">
        <v>100</v>
      </c>
      <c r="E13" s="4" t="s">
        <v>11</v>
      </c>
    </row>
    <row r="14" spans="1:5" s="5" customFormat="1" x14ac:dyDescent="0.25">
      <c r="A14" s="3" t="s">
        <v>50</v>
      </c>
      <c r="B14" s="4" t="s">
        <v>63</v>
      </c>
      <c r="C14" s="4" t="s">
        <v>81</v>
      </c>
      <c r="D14" s="4" t="s">
        <v>101</v>
      </c>
      <c r="E14" s="4" t="s">
        <v>19</v>
      </c>
    </row>
    <row r="15" spans="1:5" s="5" customFormat="1" x14ac:dyDescent="0.25">
      <c r="A15" s="3" t="s">
        <v>51</v>
      </c>
      <c r="B15" s="4" t="s">
        <v>64</v>
      </c>
      <c r="C15" s="4" t="s">
        <v>82</v>
      </c>
      <c r="D15" s="4" t="s">
        <v>102</v>
      </c>
      <c r="E15" s="4" t="s">
        <v>13</v>
      </c>
    </row>
    <row r="16" spans="1:5" s="5" customFormat="1" x14ac:dyDescent="0.25">
      <c r="A16" s="3" t="s">
        <v>52</v>
      </c>
      <c r="B16" s="4" t="s">
        <v>15</v>
      </c>
      <c r="C16" s="4" t="s">
        <v>83</v>
      </c>
      <c r="D16" s="4" t="s">
        <v>103</v>
      </c>
      <c r="E16" s="4" t="s">
        <v>24</v>
      </c>
    </row>
    <row r="17" spans="1:6" s="5" customFormat="1" x14ac:dyDescent="0.25">
      <c r="A17" s="3" t="s">
        <v>53</v>
      </c>
      <c r="B17" s="4" t="s">
        <v>65</v>
      </c>
      <c r="C17" s="4" t="s">
        <v>84</v>
      </c>
      <c r="D17" s="4" t="s">
        <v>104</v>
      </c>
      <c r="E17" s="4" t="s">
        <v>13</v>
      </c>
    </row>
    <row r="18" spans="1:6" s="5" customFormat="1" x14ac:dyDescent="0.25">
      <c r="A18" s="3" t="s">
        <v>54</v>
      </c>
      <c r="B18" s="4" t="s">
        <v>66</v>
      </c>
      <c r="C18" s="4" t="s">
        <v>85</v>
      </c>
      <c r="D18" s="4" t="s">
        <v>105</v>
      </c>
      <c r="E18" s="4" t="s">
        <v>11</v>
      </c>
    </row>
    <row r="19" spans="1:6" s="5" customFormat="1" x14ac:dyDescent="0.25">
      <c r="A19" s="3" t="s">
        <v>55</v>
      </c>
      <c r="B19" s="4" t="s">
        <v>67</v>
      </c>
      <c r="C19" s="4" t="s">
        <v>86</v>
      </c>
      <c r="D19" s="4" t="s">
        <v>106</v>
      </c>
      <c r="E19" s="4" t="s">
        <v>11</v>
      </c>
    </row>
    <row r="20" spans="1:6" s="5" customFormat="1" x14ac:dyDescent="0.25">
      <c r="A20" s="3" t="s">
        <v>56</v>
      </c>
      <c r="B20" s="4" t="s">
        <v>68</v>
      </c>
      <c r="C20" s="4" t="s">
        <v>87</v>
      </c>
      <c r="D20" s="4" t="s">
        <v>107</v>
      </c>
      <c r="E20" s="4" t="s">
        <v>13</v>
      </c>
    </row>
    <row r="21" spans="1:6" s="5" customFormat="1" x14ac:dyDescent="0.25">
      <c r="A21" s="3" t="s">
        <v>57</v>
      </c>
      <c r="B21" s="4" t="s">
        <v>21</v>
      </c>
      <c r="C21" s="4" t="s">
        <v>88</v>
      </c>
      <c r="D21" s="4" t="s">
        <v>108</v>
      </c>
      <c r="E21" s="4" t="s">
        <v>11</v>
      </c>
    </row>
    <row r="22" spans="1:6" s="5" customFormat="1" x14ac:dyDescent="0.25">
      <c r="A22" s="6"/>
      <c r="B22" s="7"/>
      <c r="C22" s="7"/>
      <c r="D22" s="7"/>
      <c r="E22" s="7"/>
    </row>
    <row r="23" spans="1:6" x14ac:dyDescent="0.25">
      <c r="B23" s="1"/>
    </row>
    <row r="24" spans="1:6" s="9" customFormat="1" x14ac:dyDescent="0.25">
      <c r="A24" s="1"/>
      <c r="B24" s="2"/>
      <c r="C24" s="1"/>
      <c r="D24" s="1"/>
      <c r="E24" s="1"/>
      <c r="F24" s="1"/>
    </row>
    <row r="25" spans="1:6" s="9" customFormat="1" ht="14.4" x14ac:dyDescent="0.3">
      <c r="A25" s="1"/>
      <c r="B25"/>
      <c r="C25"/>
      <c r="D25"/>
      <c r="E25" s="1"/>
      <c r="F25" s="1"/>
    </row>
    <row r="26" spans="1:6" s="9" customFormat="1" ht="14.4" x14ac:dyDescent="0.3">
      <c r="A26" s="1"/>
      <c r="B26" s="42"/>
      <c r="C26" s="42" t="s">
        <v>26</v>
      </c>
      <c r="D26" s="42" t="s">
        <v>122</v>
      </c>
      <c r="E26" s="1"/>
      <c r="F26" s="1"/>
    </row>
    <row r="27" spans="1:6" s="9" customFormat="1" ht="14.4" x14ac:dyDescent="0.3">
      <c r="A27" s="1"/>
      <c r="B27" s="42">
        <v>2011</v>
      </c>
      <c r="C27" s="43">
        <f>'Summary FR'!C5</f>
        <v>0</v>
      </c>
      <c r="D27" s="43">
        <f>'Summary FR'!C6</f>
        <v>0</v>
      </c>
      <c r="E27" s="1"/>
      <c r="F27" s="1"/>
    </row>
    <row r="28" spans="1:6" s="9" customFormat="1" ht="14.4" x14ac:dyDescent="0.3">
      <c r="A28" s="1"/>
      <c r="B28" s="42">
        <v>2012</v>
      </c>
      <c r="C28" s="43">
        <v>10</v>
      </c>
      <c r="D28" s="43">
        <f>'Summary FR'!D6</f>
        <v>0</v>
      </c>
      <c r="E28" s="1"/>
      <c r="F28" s="1"/>
    </row>
    <row r="29" spans="1:6" s="9" customFormat="1" ht="14.4" x14ac:dyDescent="0.3">
      <c r="A29" s="1"/>
      <c r="B29" s="43">
        <v>2013</v>
      </c>
      <c r="C29" s="43">
        <f>'Summary FR'!E5</f>
        <v>0</v>
      </c>
      <c r="D29" s="43">
        <v>15</v>
      </c>
      <c r="E29" s="1"/>
      <c r="F29" s="1"/>
    </row>
    <row r="30" spans="1:6" s="9" customFormat="1" ht="14.4" x14ac:dyDescent="0.3">
      <c r="A30" s="1"/>
      <c r="B30" s="43">
        <v>2014</v>
      </c>
      <c r="C30" s="42">
        <f>'Summary FR'!F5</f>
        <v>0</v>
      </c>
      <c r="D30" s="42">
        <f>'Summary FR'!F6</f>
        <v>0</v>
      </c>
      <c r="E30" s="1"/>
      <c r="F30" s="1"/>
    </row>
    <row r="31" spans="1:6" s="9" customFormat="1" ht="14.4" x14ac:dyDescent="0.3">
      <c r="A31" s="1"/>
      <c r="B31" s="43">
        <v>2015</v>
      </c>
      <c r="C31" s="42">
        <f>'Summary FR'!G5</f>
        <v>0</v>
      </c>
      <c r="D31" s="42">
        <f>'Summary FR'!G6</f>
        <v>0</v>
      </c>
      <c r="E31" s="1"/>
      <c r="F31" s="1"/>
    </row>
  </sheetData>
  <sheetProtection password="CA37" sheet="1" objects="1" scenarios="1"/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26" workbookViewId="0">
      <selection activeCell="B34" sqref="B34"/>
    </sheetView>
  </sheetViews>
  <sheetFormatPr defaultColWidth="11.5546875" defaultRowHeight="14.4" x14ac:dyDescent="0.3"/>
  <sheetData/>
  <sheetProtection password="CA77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FR</vt:lpstr>
      <vt:lpstr>Employees</vt:lpstr>
      <vt:lpstr>Employees (W)</vt:lpstr>
      <vt:lpstr>Revenue</vt:lpstr>
      <vt:lpstr>Costs</vt:lpstr>
      <vt:lpstr>Profit</vt:lpstr>
      <vt:lpstr>Empresas</vt:lpstr>
      <vt:lpstr>Ejemplos posibles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Orozco de González</dc:creator>
  <cp:lastModifiedBy>Stephany Orozco de González</cp:lastModifiedBy>
  <cp:lastPrinted>2016-02-04T23:05:47Z</cp:lastPrinted>
  <dcterms:created xsi:type="dcterms:W3CDTF">2016-01-27T17:24:07Z</dcterms:created>
  <dcterms:modified xsi:type="dcterms:W3CDTF">2017-06-15T21:33:27Z</dcterms:modified>
</cp:coreProperties>
</file>