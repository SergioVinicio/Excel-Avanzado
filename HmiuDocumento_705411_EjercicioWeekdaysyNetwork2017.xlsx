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/>
  <mc:AlternateContent xmlns:mc="http://schemas.openxmlformats.org/markup-compatibility/2006">
    <mc:Choice Requires="x15">
      <x15ac:absPath xmlns:x15ac="http://schemas.microsoft.com/office/spreadsheetml/2010/11/ac" url="C:\Users\steph\Dropbox (Personal)\UFM 2\2017\Tareas\"/>
    </mc:Choice>
  </mc:AlternateContent>
  <bookViews>
    <workbookView xWindow="0" yWindow="0" windowWidth="10596" windowHeight="4632"/>
  </bookViews>
  <sheets>
    <sheet name="Instructions" sheetId="4" r:id="rId1"/>
    <sheet name="Formulas Days" sheetId="1" r:id="rId2"/>
    <sheet name="Graficas y contratos" sheetId="2" r:id="rId3"/>
    <sheet name="Formulas Days (Ejemplo)" sheetId="6" r:id="rId4"/>
    <sheet name="Graficas y contratos (Ejemplo)" sheetId="5" r:id="rId5"/>
  </sheets>
  <definedNames>
    <definedName name="_xlnm._FilterDatabase" localSheetId="3" hidden="1">'Formulas Days (Ejemplo)'!$A$3:$W$63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6" l="1"/>
  <c r="A6" i="6" s="1"/>
  <c r="C4" i="6"/>
  <c r="M4" i="6" s="1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M50" i="5" s="1"/>
  <c r="H21" i="5"/>
  <c r="E21" i="5"/>
  <c r="G21" i="5" s="1"/>
  <c r="D21" i="5"/>
  <c r="F21" i="5" s="1"/>
  <c r="H20" i="5"/>
  <c r="E20" i="5"/>
  <c r="G20" i="5" s="1"/>
  <c r="D20" i="5"/>
  <c r="F20" i="5" s="1"/>
  <c r="H19" i="5"/>
  <c r="F19" i="5"/>
  <c r="E19" i="5"/>
  <c r="G19" i="5" s="1"/>
  <c r="D19" i="5"/>
  <c r="H18" i="5"/>
  <c r="G18" i="5"/>
  <c r="E18" i="5"/>
  <c r="D18" i="5"/>
  <c r="F18" i="5" s="1"/>
  <c r="H17" i="5"/>
  <c r="E17" i="5"/>
  <c r="G17" i="5" s="1"/>
  <c r="D17" i="5"/>
  <c r="F17" i="5" s="1"/>
  <c r="H16" i="5"/>
  <c r="E16" i="5"/>
  <c r="G16" i="5" s="1"/>
  <c r="D16" i="5"/>
  <c r="F16" i="5" s="1"/>
  <c r="H15" i="5"/>
  <c r="F15" i="5"/>
  <c r="E15" i="5"/>
  <c r="G15" i="5" s="1"/>
  <c r="D15" i="5"/>
  <c r="H14" i="5"/>
  <c r="G14" i="5"/>
  <c r="E14" i="5"/>
  <c r="D14" i="5"/>
  <c r="F14" i="5" s="1"/>
  <c r="H13" i="5"/>
  <c r="E13" i="5"/>
  <c r="G13" i="5" s="1"/>
  <c r="D13" i="5"/>
  <c r="F13" i="5" s="1"/>
  <c r="H12" i="5"/>
  <c r="E12" i="5"/>
  <c r="G12" i="5" s="1"/>
  <c r="D12" i="5"/>
  <c r="F12" i="5" s="1"/>
  <c r="H11" i="5"/>
  <c r="F11" i="5"/>
  <c r="E11" i="5"/>
  <c r="G11" i="5" s="1"/>
  <c r="D11" i="5"/>
  <c r="H10" i="5"/>
  <c r="G10" i="5"/>
  <c r="E10" i="5"/>
  <c r="D10" i="5"/>
  <c r="F10" i="5" s="1"/>
  <c r="H9" i="5"/>
  <c r="E9" i="5"/>
  <c r="G9" i="5" s="1"/>
  <c r="D9" i="5"/>
  <c r="F9" i="5" s="1"/>
  <c r="H8" i="5"/>
  <c r="E8" i="5"/>
  <c r="G8" i="5" s="1"/>
  <c r="D8" i="5"/>
  <c r="F8" i="5" s="1"/>
  <c r="H7" i="5"/>
  <c r="F7" i="5"/>
  <c r="E7" i="5"/>
  <c r="G7" i="5" s="1"/>
  <c r="D7" i="5"/>
  <c r="H6" i="5"/>
  <c r="G6" i="5"/>
  <c r="E6" i="5"/>
  <c r="D6" i="5"/>
  <c r="F6" i="5" s="1"/>
  <c r="H5" i="5"/>
  <c r="E5" i="5"/>
  <c r="G5" i="5" s="1"/>
  <c r="D5" i="5"/>
  <c r="F5" i="5" s="1"/>
  <c r="H4" i="5"/>
  <c r="E4" i="5"/>
  <c r="G4" i="5" s="1"/>
  <c r="D4" i="5"/>
  <c r="F4" i="5" s="1"/>
  <c r="H3" i="5"/>
  <c r="F3" i="5"/>
  <c r="E3" i="5"/>
  <c r="G3" i="5" s="1"/>
  <c r="D3" i="5"/>
  <c r="H2" i="5"/>
  <c r="G2" i="5"/>
  <c r="E2" i="5"/>
  <c r="D2" i="5"/>
  <c r="F2" i="5" s="1"/>
  <c r="H4" i="6" l="1"/>
  <c r="I4" i="6"/>
  <c r="D4" i="6"/>
  <c r="E4" i="6"/>
  <c r="L4" i="6"/>
  <c r="W4" i="6"/>
  <c r="R4" i="6"/>
  <c r="V4" i="6"/>
  <c r="O4" i="6"/>
  <c r="S4" i="6"/>
  <c r="N4" i="6"/>
  <c r="P4" i="6"/>
  <c r="Q4" i="6"/>
  <c r="K4" i="6"/>
  <c r="G4" i="6"/>
  <c r="U4" i="6"/>
  <c r="J4" i="6"/>
  <c r="F4" i="6"/>
  <c r="T4" i="6"/>
  <c r="C6" i="6"/>
  <c r="A7" i="6"/>
  <c r="C5" i="6"/>
  <c r="M47" i="5"/>
  <c r="M44" i="5"/>
  <c r="M48" i="5"/>
  <c r="M45" i="5"/>
  <c r="M49" i="5"/>
  <c r="M46" i="5"/>
  <c r="P6" i="6" l="1"/>
  <c r="T6" i="6"/>
  <c r="Q6" i="6"/>
  <c r="U6" i="6"/>
  <c r="N6" i="6"/>
  <c r="R6" i="6"/>
  <c r="V6" i="6"/>
  <c r="O6" i="6"/>
  <c r="S6" i="6"/>
  <c r="W6" i="6"/>
  <c r="G6" i="6"/>
  <c r="K6" i="6"/>
  <c r="D6" i="6"/>
  <c r="H6" i="6"/>
  <c r="L6" i="6"/>
  <c r="I6" i="6"/>
  <c r="J6" i="6"/>
  <c r="M6" i="6"/>
  <c r="E6" i="6"/>
  <c r="F6" i="6"/>
  <c r="N5" i="6"/>
  <c r="R5" i="6"/>
  <c r="V5" i="6"/>
  <c r="O5" i="6"/>
  <c r="S5" i="6"/>
  <c r="W5" i="6"/>
  <c r="P5" i="6"/>
  <c r="T5" i="6"/>
  <c r="Q5" i="6"/>
  <c r="U5" i="6"/>
  <c r="E5" i="6"/>
  <c r="I5" i="6"/>
  <c r="M5" i="6"/>
  <c r="F5" i="6"/>
  <c r="J5" i="6"/>
  <c r="K5" i="6"/>
  <c r="D5" i="6"/>
  <c r="L5" i="6"/>
  <c r="G5" i="6"/>
  <c r="H5" i="6"/>
  <c r="A8" i="6"/>
  <c r="C7" i="6"/>
  <c r="N7" i="6" l="1"/>
  <c r="R7" i="6"/>
  <c r="V7" i="6"/>
  <c r="O7" i="6"/>
  <c r="S7" i="6"/>
  <c r="W7" i="6"/>
  <c r="P7" i="6"/>
  <c r="T7" i="6"/>
  <c r="Q7" i="6"/>
  <c r="U7" i="6"/>
  <c r="E7" i="6"/>
  <c r="I7" i="6"/>
  <c r="M7" i="6"/>
  <c r="F7" i="6"/>
  <c r="J7" i="6"/>
  <c r="G7" i="6"/>
  <c r="H7" i="6"/>
  <c r="D7" i="6"/>
  <c r="K7" i="6"/>
  <c r="L7" i="6"/>
  <c r="A9" i="6"/>
  <c r="C8" i="6"/>
  <c r="P8" i="6" l="1"/>
  <c r="T8" i="6"/>
  <c r="Q8" i="6"/>
  <c r="U8" i="6"/>
  <c r="N8" i="6"/>
  <c r="R8" i="6"/>
  <c r="V8" i="6"/>
  <c r="O8" i="6"/>
  <c r="S8" i="6"/>
  <c r="W8" i="6"/>
  <c r="G8" i="6"/>
  <c r="K8" i="6"/>
  <c r="D8" i="6"/>
  <c r="H8" i="6"/>
  <c r="L8" i="6"/>
  <c r="E8" i="6"/>
  <c r="M8" i="6"/>
  <c r="F8" i="6"/>
  <c r="I8" i="6"/>
  <c r="J8" i="6"/>
  <c r="A10" i="6"/>
  <c r="C9" i="6"/>
  <c r="N9" i="6" l="1"/>
  <c r="R9" i="6"/>
  <c r="V9" i="6"/>
  <c r="O9" i="6"/>
  <c r="S9" i="6"/>
  <c r="W9" i="6"/>
  <c r="P9" i="6"/>
  <c r="T9" i="6"/>
  <c r="Q9" i="6"/>
  <c r="U9" i="6"/>
  <c r="E9" i="6"/>
  <c r="I9" i="6"/>
  <c r="M9" i="6"/>
  <c r="F9" i="6"/>
  <c r="J9" i="6"/>
  <c r="K9" i="6"/>
  <c r="D9" i="6"/>
  <c r="L9" i="6"/>
  <c r="G9" i="6"/>
  <c r="H9" i="6"/>
  <c r="C10" i="6"/>
  <c r="A11" i="6"/>
  <c r="P10" i="6" l="1"/>
  <c r="T10" i="6"/>
  <c r="Q10" i="6"/>
  <c r="U10" i="6"/>
  <c r="N10" i="6"/>
  <c r="R10" i="6"/>
  <c r="V10" i="6"/>
  <c r="O10" i="6"/>
  <c r="S10" i="6"/>
  <c r="W10" i="6"/>
  <c r="G10" i="6"/>
  <c r="K10" i="6"/>
  <c r="D10" i="6"/>
  <c r="H10" i="6"/>
  <c r="L10" i="6"/>
  <c r="I10" i="6"/>
  <c r="J10" i="6"/>
  <c r="E10" i="6"/>
  <c r="F10" i="6"/>
  <c r="M10" i="6"/>
  <c r="A12" i="6"/>
  <c r="C11" i="6"/>
  <c r="N11" i="6" l="1"/>
  <c r="R11" i="6"/>
  <c r="V11" i="6"/>
  <c r="O11" i="6"/>
  <c r="S11" i="6"/>
  <c r="W11" i="6"/>
  <c r="P11" i="6"/>
  <c r="T11" i="6"/>
  <c r="Q11" i="6"/>
  <c r="U11" i="6"/>
  <c r="E11" i="6"/>
  <c r="I11" i="6"/>
  <c r="M11" i="6"/>
  <c r="F11" i="6"/>
  <c r="J11" i="6"/>
  <c r="G11" i="6"/>
  <c r="H11" i="6"/>
  <c r="K11" i="6"/>
  <c r="L11" i="6"/>
  <c r="D11" i="6"/>
  <c r="C12" i="6"/>
  <c r="A13" i="6"/>
  <c r="P12" i="6" l="1"/>
  <c r="T12" i="6"/>
  <c r="Q12" i="6"/>
  <c r="U12" i="6"/>
  <c r="N12" i="6"/>
  <c r="R12" i="6"/>
  <c r="V12" i="6"/>
  <c r="O12" i="6"/>
  <c r="S12" i="6"/>
  <c r="W12" i="6"/>
  <c r="D12" i="6"/>
  <c r="E12" i="6"/>
  <c r="I12" i="6"/>
  <c r="M12" i="6"/>
  <c r="F12" i="6"/>
  <c r="J12" i="6"/>
  <c r="K12" i="6"/>
  <c r="L12" i="6"/>
  <c r="G12" i="6"/>
  <c r="H12" i="6"/>
  <c r="A14" i="6"/>
  <c r="C13" i="6"/>
  <c r="N13" i="6" l="1"/>
  <c r="R13" i="6"/>
  <c r="V13" i="6"/>
  <c r="O13" i="6"/>
  <c r="S13" i="6"/>
  <c r="W13" i="6"/>
  <c r="P13" i="6"/>
  <c r="T13" i="6"/>
  <c r="Q13" i="6"/>
  <c r="U13" i="6"/>
  <c r="G13" i="6"/>
  <c r="K13" i="6"/>
  <c r="D13" i="6"/>
  <c r="H13" i="6"/>
  <c r="L13" i="6"/>
  <c r="I13" i="6"/>
  <c r="J13" i="6"/>
  <c r="E13" i="6"/>
  <c r="M13" i="6"/>
  <c r="F13" i="6"/>
  <c r="A15" i="6"/>
  <c r="C14" i="6"/>
  <c r="P14" i="6" l="1"/>
  <c r="T14" i="6"/>
  <c r="Q14" i="6"/>
  <c r="U14" i="6"/>
  <c r="N14" i="6"/>
  <c r="R14" i="6"/>
  <c r="V14" i="6"/>
  <c r="O14" i="6"/>
  <c r="S14" i="6"/>
  <c r="W14" i="6"/>
  <c r="E14" i="6"/>
  <c r="I14" i="6"/>
  <c r="M14" i="6"/>
  <c r="F14" i="6"/>
  <c r="J14" i="6"/>
  <c r="G14" i="6"/>
  <c r="H14" i="6"/>
  <c r="K14" i="6"/>
  <c r="D14" i="6"/>
  <c r="L14" i="6"/>
  <c r="A16" i="6"/>
  <c r="C15" i="6"/>
  <c r="N15" i="6" l="1"/>
  <c r="R15" i="6"/>
  <c r="V15" i="6"/>
  <c r="O15" i="6"/>
  <c r="S15" i="6"/>
  <c r="W15" i="6"/>
  <c r="P15" i="6"/>
  <c r="T15" i="6"/>
  <c r="Q15" i="6"/>
  <c r="U15" i="6"/>
  <c r="G15" i="6"/>
  <c r="K15" i="6"/>
  <c r="D15" i="6"/>
  <c r="H15" i="6"/>
  <c r="L15" i="6"/>
  <c r="E15" i="6"/>
  <c r="M15" i="6"/>
  <c r="F15" i="6"/>
  <c r="I15" i="6"/>
  <c r="J15" i="6"/>
  <c r="C16" i="6"/>
  <c r="A17" i="6"/>
  <c r="P16" i="6" l="1"/>
  <c r="T16" i="6"/>
  <c r="Q16" i="6"/>
  <c r="U16" i="6"/>
  <c r="N16" i="6"/>
  <c r="R16" i="6"/>
  <c r="V16" i="6"/>
  <c r="O16" i="6"/>
  <c r="S16" i="6"/>
  <c r="W16" i="6"/>
  <c r="E16" i="6"/>
  <c r="I16" i="6"/>
  <c r="M16" i="6"/>
  <c r="F16" i="6"/>
  <c r="J16" i="6"/>
  <c r="K16" i="6"/>
  <c r="D16" i="6"/>
  <c r="L16" i="6"/>
  <c r="G16" i="6"/>
  <c r="H16" i="6"/>
  <c r="A18" i="6"/>
  <c r="C17" i="6"/>
  <c r="N17" i="6" l="1"/>
  <c r="R17" i="6"/>
  <c r="V17" i="6"/>
  <c r="O17" i="6"/>
  <c r="S17" i="6"/>
  <c r="W17" i="6"/>
  <c r="P17" i="6"/>
  <c r="T17" i="6"/>
  <c r="Q17" i="6"/>
  <c r="U17" i="6"/>
  <c r="G17" i="6"/>
  <c r="K17" i="6"/>
  <c r="D17" i="6"/>
  <c r="H17" i="6"/>
  <c r="L17" i="6"/>
  <c r="I17" i="6"/>
  <c r="J17" i="6"/>
  <c r="E17" i="6"/>
  <c r="M17" i="6"/>
  <c r="F17" i="6"/>
  <c r="C18" i="6"/>
  <c r="A19" i="6"/>
  <c r="P18" i="6" l="1"/>
  <c r="T18" i="6"/>
  <c r="Q18" i="6"/>
  <c r="U18" i="6"/>
  <c r="N18" i="6"/>
  <c r="R18" i="6"/>
  <c r="V18" i="6"/>
  <c r="O18" i="6"/>
  <c r="S18" i="6"/>
  <c r="W18" i="6"/>
  <c r="E18" i="6"/>
  <c r="I18" i="6"/>
  <c r="M18" i="6"/>
  <c r="F18" i="6"/>
  <c r="J18" i="6"/>
  <c r="G18" i="6"/>
  <c r="H18" i="6"/>
  <c r="K18" i="6"/>
  <c r="D18" i="6"/>
  <c r="L18" i="6"/>
  <c r="A20" i="6"/>
  <c r="C19" i="6"/>
  <c r="N19" i="6" l="1"/>
  <c r="R19" i="6"/>
  <c r="V19" i="6"/>
  <c r="O19" i="6"/>
  <c r="S19" i="6"/>
  <c r="W19" i="6"/>
  <c r="P19" i="6"/>
  <c r="T19" i="6"/>
  <c r="Q19" i="6"/>
  <c r="U19" i="6"/>
  <c r="G19" i="6"/>
  <c r="K19" i="6"/>
  <c r="D19" i="6"/>
  <c r="H19" i="6"/>
  <c r="L19" i="6"/>
  <c r="E19" i="6"/>
  <c r="M19" i="6"/>
  <c r="F19" i="6"/>
  <c r="I19" i="6"/>
  <c r="J19" i="6"/>
  <c r="A21" i="6"/>
  <c r="C20" i="6"/>
  <c r="P20" i="6" l="1"/>
  <c r="T20" i="6"/>
  <c r="Q20" i="6"/>
  <c r="U20" i="6"/>
  <c r="N20" i="6"/>
  <c r="R20" i="6"/>
  <c r="V20" i="6"/>
  <c r="O20" i="6"/>
  <c r="S20" i="6"/>
  <c r="W20" i="6"/>
  <c r="E20" i="6"/>
  <c r="I20" i="6"/>
  <c r="M20" i="6"/>
  <c r="F20" i="6"/>
  <c r="J20" i="6"/>
  <c r="K20" i="6"/>
  <c r="D20" i="6"/>
  <c r="L20" i="6"/>
  <c r="G20" i="6"/>
  <c r="H20" i="6"/>
  <c r="A22" i="6"/>
  <c r="C21" i="6"/>
  <c r="N21" i="6" l="1"/>
  <c r="R21" i="6"/>
  <c r="V21" i="6"/>
  <c r="O21" i="6"/>
  <c r="S21" i="6"/>
  <c r="W21" i="6"/>
  <c r="P21" i="6"/>
  <c r="T21" i="6"/>
  <c r="Q21" i="6"/>
  <c r="U21" i="6"/>
  <c r="G21" i="6"/>
  <c r="K21" i="6"/>
  <c r="D21" i="6"/>
  <c r="H21" i="6"/>
  <c r="L21" i="6"/>
  <c r="I21" i="6"/>
  <c r="J21" i="6"/>
  <c r="E21" i="6"/>
  <c r="M21" i="6"/>
  <c r="F21" i="6"/>
  <c r="C22" i="6"/>
  <c r="A23" i="6"/>
  <c r="P22" i="6" l="1"/>
  <c r="T22" i="6"/>
  <c r="Q22" i="6"/>
  <c r="U22" i="6"/>
  <c r="N22" i="6"/>
  <c r="R22" i="6"/>
  <c r="V22" i="6"/>
  <c r="O22" i="6"/>
  <c r="S22" i="6"/>
  <c r="W22" i="6"/>
  <c r="E22" i="6"/>
  <c r="I22" i="6"/>
  <c r="M22" i="6"/>
  <c r="F22" i="6"/>
  <c r="J22" i="6"/>
  <c r="G22" i="6"/>
  <c r="H22" i="6"/>
  <c r="K22" i="6"/>
  <c r="D22" i="6"/>
  <c r="L22" i="6"/>
  <c r="A24" i="6"/>
  <c r="C23" i="6"/>
  <c r="N23" i="6" l="1"/>
  <c r="R23" i="6"/>
  <c r="V23" i="6"/>
  <c r="O23" i="6"/>
  <c r="S23" i="6"/>
  <c r="W23" i="6"/>
  <c r="P23" i="6"/>
  <c r="T23" i="6"/>
  <c r="Q23" i="6"/>
  <c r="U23" i="6"/>
  <c r="G23" i="6"/>
  <c r="K23" i="6"/>
  <c r="D23" i="6"/>
  <c r="H23" i="6"/>
  <c r="L23" i="6"/>
  <c r="E23" i="6"/>
  <c r="M23" i="6"/>
  <c r="F23" i="6"/>
  <c r="I23" i="6"/>
  <c r="J23" i="6"/>
  <c r="C24" i="6"/>
  <c r="A25" i="6"/>
  <c r="P24" i="6" l="1"/>
  <c r="T24" i="6"/>
  <c r="Q24" i="6"/>
  <c r="U24" i="6"/>
  <c r="N24" i="6"/>
  <c r="R24" i="6"/>
  <c r="V24" i="6"/>
  <c r="O24" i="6"/>
  <c r="S24" i="6"/>
  <c r="W24" i="6"/>
  <c r="E24" i="6"/>
  <c r="I24" i="6"/>
  <c r="M24" i="6"/>
  <c r="F24" i="6"/>
  <c r="J24" i="6"/>
  <c r="K24" i="6"/>
  <c r="D24" i="6"/>
  <c r="L24" i="6"/>
  <c r="G24" i="6"/>
  <c r="H24" i="6"/>
  <c r="A26" i="6"/>
  <c r="C25" i="6"/>
  <c r="N25" i="6" l="1"/>
  <c r="R25" i="6"/>
  <c r="V25" i="6"/>
  <c r="O25" i="6"/>
  <c r="S25" i="6"/>
  <c r="W25" i="6"/>
  <c r="P25" i="6"/>
  <c r="T25" i="6"/>
  <c r="Q25" i="6"/>
  <c r="U25" i="6"/>
  <c r="G25" i="6"/>
  <c r="K25" i="6"/>
  <c r="D25" i="6"/>
  <c r="H25" i="6"/>
  <c r="L25" i="6"/>
  <c r="I25" i="6"/>
  <c r="J25" i="6"/>
  <c r="E25" i="6"/>
  <c r="M25" i="6"/>
  <c r="F25" i="6"/>
  <c r="A27" i="6"/>
  <c r="C26" i="6"/>
  <c r="P26" i="6" l="1"/>
  <c r="T26" i="6"/>
  <c r="Q26" i="6"/>
  <c r="U26" i="6"/>
  <c r="N26" i="6"/>
  <c r="R26" i="6"/>
  <c r="V26" i="6"/>
  <c r="O26" i="6"/>
  <c r="S26" i="6"/>
  <c r="W26" i="6"/>
  <c r="E26" i="6"/>
  <c r="I26" i="6"/>
  <c r="M26" i="6"/>
  <c r="F26" i="6"/>
  <c r="J26" i="6"/>
  <c r="G26" i="6"/>
  <c r="H26" i="6"/>
  <c r="K26" i="6"/>
  <c r="D26" i="6"/>
  <c r="L26" i="6"/>
  <c r="A28" i="6"/>
  <c r="C27" i="6"/>
  <c r="N27" i="6" l="1"/>
  <c r="R27" i="6"/>
  <c r="V27" i="6"/>
  <c r="O27" i="6"/>
  <c r="S27" i="6"/>
  <c r="W27" i="6"/>
  <c r="P27" i="6"/>
  <c r="T27" i="6"/>
  <c r="Q27" i="6"/>
  <c r="U27" i="6"/>
  <c r="G27" i="6"/>
  <c r="K27" i="6"/>
  <c r="D27" i="6"/>
  <c r="H27" i="6"/>
  <c r="L27" i="6"/>
  <c r="E27" i="6"/>
  <c r="M27" i="6"/>
  <c r="F27" i="6"/>
  <c r="I27" i="6"/>
  <c r="J27" i="6"/>
  <c r="C28" i="6"/>
  <c r="A29" i="6"/>
  <c r="P28" i="6" l="1"/>
  <c r="T28" i="6"/>
  <c r="Q28" i="6"/>
  <c r="U28" i="6"/>
  <c r="N28" i="6"/>
  <c r="R28" i="6"/>
  <c r="V28" i="6"/>
  <c r="O28" i="6"/>
  <c r="S28" i="6"/>
  <c r="W28" i="6"/>
  <c r="E28" i="6"/>
  <c r="I28" i="6"/>
  <c r="M28" i="6"/>
  <c r="F28" i="6"/>
  <c r="J28" i="6"/>
  <c r="K28" i="6"/>
  <c r="D28" i="6"/>
  <c r="L28" i="6"/>
  <c r="G28" i="6"/>
  <c r="H28" i="6"/>
  <c r="A30" i="6"/>
  <c r="C29" i="6"/>
  <c r="N29" i="6" l="1"/>
  <c r="R29" i="6"/>
  <c r="V29" i="6"/>
  <c r="O29" i="6"/>
  <c r="S29" i="6"/>
  <c r="W29" i="6"/>
  <c r="P29" i="6"/>
  <c r="T29" i="6"/>
  <c r="Q29" i="6"/>
  <c r="U29" i="6"/>
  <c r="G29" i="6"/>
  <c r="K29" i="6"/>
  <c r="D29" i="6"/>
  <c r="H29" i="6"/>
  <c r="L29" i="6"/>
  <c r="I29" i="6"/>
  <c r="J29" i="6"/>
  <c r="E29" i="6"/>
  <c r="M29" i="6"/>
  <c r="F29" i="6"/>
  <c r="C30" i="6"/>
  <c r="A31" i="6"/>
  <c r="P30" i="6" l="1"/>
  <c r="T30" i="6"/>
  <c r="Q30" i="6"/>
  <c r="U30" i="6"/>
  <c r="N30" i="6"/>
  <c r="R30" i="6"/>
  <c r="V30" i="6"/>
  <c r="O30" i="6"/>
  <c r="S30" i="6"/>
  <c r="W30" i="6"/>
  <c r="E30" i="6"/>
  <c r="I30" i="6"/>
  <c r="M30" i="6"/>
  <c r="F30" i="6"/>
  <c r="J30" i="6"/>
  <c r="G30" i="6"/>
  <c r="H30" i="6"/>
  <c r="K30" i="6"/>
  <c r="D30" i="6"/>
  <c r="L30" i="6"/>
  <c r="A32" i="6"/>
  <c r="C31" i="6"/>
  <c r="N31" i="6" l="1"/>
  <c r="R31" i="6"/>
  <c r="V31" i="6"/>
  <c r="O31" i="6"/>
  <c r="S31" i="6"/>
  <c r="W31" i="6"/>
  <c r="P31" i="6"/>
  <c r="T31" i="6"/>
  <c r="Q31" i="6"/>
  <c r="U31" i="6"/>
  <c r="G31" i="6"/>
  <c r="K31" i="6"/>
  <c r="D31" i="6"/>
  <c r="H31" i="6"/>
  <c r="L31" i="6"/>
  <c r="E31" i="6"/>
  <c r="M31" i="6"/>
  <c r="F31" i="6"/>
  <c r="I31" i="6"/>
  <c r="J31" i="6"/>
  <c r="A33" i="6"/>
  <c r="C32" i="6"/>
  <c r="P32" i="6" l="1"/>
  <c r="T32" i="6"/>
  <c r="Q32" i="6"/>
  <c r="U32" i="6"/>
  <c r="N32" i="6"/>
  <c r="R32" i="6"/>
  <c r="V32" i="6"/>
  <c r="O32" i="6"/>
  <c r="S32" i="6"/>
  <c r="W32" i="6"/>
  <c r="E32" i="6"/>
  <c r="I32" i="6"/>
  <c r="M32" i="6"/>
  <c r="F32" i="6"/>
  <c r="J32" i="6"/>
  <c r="K32" i="6"/>
  <c r="D32" i="6"/>
  <c r="L32" i="6"/>
  <c r="G32" i="6"/>
  <c r="H32" i="6"/>
  <c r="A34" i="6"/>
  <c r="C33" i="6"/>
  <c r="N33" i="6" l="1"/>
  <c r="R33" i="6"/>
  <c r="V33" i="6"/>
  <c r="O33" i="6"/>
  <c r="S33" i="6"/>
  <c r="W33" i="6"/>
  <c r="P33" i="6"/>
  <c r="T33" i="6"/>
  <c r="Q33" i="6"/>
  <c r="U33" i="6"/>
  <c r="G33" i="6"/>
  <c r="K33" i="6"/>
  <c r="D33" i="6"/>
  <c r="H33" i="6"/>
  <c r="L33" i="6"/>
  <c r="I33" i="6"/>
  <c r="J33" i="6"/>
  <c r="E33" i="6"/>
  <c r="M33" i="6"/>
  <c r="F33" i="6"/>
  <c r="C34" i="6"/>
  <c r="A35" i="6"/>
  <c r="P34" i="6" l="1"/>
  <c r="T34" i="6"/>
  <c r="Q34" i="6"/>
  <c r="U34" i="6"/>
  <c r="N34" i="6"/>
  <c r="R34" i="6"/>
  <c r="V34" i="6"/>
  <c r="O34" i="6"/>
  <c r="S34" i="6"/>
  <c r="W34" i="6"/>
  <c r="E34" i="6"/>
  <c r="I34" i="6"/>
  <c r="F34" i="6"/>
  <c r="J34" i="6"/>
  <c r="G34" i="6"/>
  <c r="M34" i="6"/>
  <c r="H34" i="6"/>
  <c r="K34" i="6"/>
  <c r="D34" i="6"/>
  <c r="L34" i="6"/>
  <c r="A36" i="6"/>
  <c r="C35" i="6"/>
  <c r="N35" i="6" l="1"/>
  <c r="R35" i="6"/>
  <c r="V35" i="6"/>
  <c r="O35" i="6"/>
  <c r="S35" i="6"/>
  <c r="W35" i="6"/>
  <c r="P35" i="6"/>
  <c r="T35" i="6"/>
  <c r="Q35" i="6"/>
  <c r="U35" i="6"/>
  <c r="D35" i="6"/>
  <c r="H35" i="6"/>
  <c r="L35" i="6"/>
  <c r="I35" i="6"/>
  <c r="E35" i="6"/>
  <c r="J35" i="6"/>
  <c r="F35" i="6"/>
  <c r="K35" i="6"/>
  <c r="G35" i="6"/>
  <c r="M35" i="6"/>
  <c r="A37" i="6"/>
  <c r="C36" i="6"/>
  <c r="P36" i="6" l="1"/>
  <c r="T36" i="6"/>
  <c r="Q36" i="6"/>
  <c r="U36" i="6"/>
  <c r="N36" i="6"/>
  <c r="R36" i="6"/>
  <c r="V36" i="6"/>
  <c r="O36" i="6"/>
  <c r="S36" i="6"/>
  <c r="W36" i="6"/>
  <c r="F36" i="6"/>
  <c r="J36" i="6"/>
  <c r="D36" i="6"/>
  <c r="I36" i="6"/>
  <c r="E36" i="6"/>
  <c r="K36" i="6"/>
  <c r="G36" i="6"/>
  <c r="L36" i="6"/>
  <c r="H36" i="6"/>
  <c r="M36" i="6"/>
  <c r="A38" i="6"/>
  <c r="C37" i="6"/>
  <c r="N37" i="6" l="1"/>
  <c r="O37" i="6"/>
  <c r="S37" i="6"/>
  <c r="W37" i="6"/>
  <c r="P37" i="6"/>
  <c r="Q37" i="6"/>
  <c r="U37" i="6"/>
  <c r="R37" i="6"/>
  <c r="T37" i="6"/>
  <c r="V37" i="6"/>
  <c r="D37" i="6"/>
  <c r="H37" i="6"/>
  <c r="L37" i="6"/>
  <c r="E37" i="6"/>
  <c r="J37" i="6"/>
  <c r="F37" i="6"/>
  <c r="K37" i="6"/>
  <c r="G37" i="6"/>
  <c r="M37" i="6"/>
  <c r="I37" i="6"/>
  <c r="C38" i="6"/>
  <c r="A39" i="6"/>
  <c r="Q38" i="6" l="1"/>
  <c r="U38" i="6"/>
  <c r="O38" i="6"/>
  <c r="S38" i="6"/>
  <c r="W38" i="6"/>
  <c r="P38" i="6"/>
  <c r="R38" i="6"/>
  <c r="T38" i="6"/>
  <c r="N38" i="6"/>
  <c r="V38" i="6"/>
  <c r="F38" i="6"/>
  <c r="J38" i="6"/>
  <c r="E38" i="6"/>
  <c r="K38" i="6"/>
  <c r="G38" i="6"/>
  <c r="L38" i="6"/>
  <c r="H38" i="6"/>
  <c r="M38" i="6"/>
  <c r="D38" i="6"/>
  <c r="I38" i="6"/>
  <c r="A40" i="6"/>
  <c r="C39" i="6"/>
  <c r="N39" i="6" l="1"/>
  <c r="R39" i="6"/>
  <c r="V39" i="6"/>
  <c r="O39" i="6"/>
  <c r="S39" i="6"/>
  <c r="W39" i="6"/>
  <c r="P39" i="6"/>
  <c r="T39" i="6"/>
  <c r="Q39" i="6"/>
  <c r="U39" i="6"/>
  <c r="D39" i="6"/>
  <c r="H39" i="6"/>
  <c r="L39" i="6"/>
  <c r="F39" i="6"/>
  <c r="K39" i="6"/>
  <c r="G39" i="6"/>
  <c r="M39" i="6"/>
  <c r="I39" i="6"/>
  <c r="E39" i="6"/>
  <c r="J39" i="6"/>
  <c r="C40" i="6"/>
  <c r="A41" i="6"/>
  <c r="P40" i="6" l="1"/>
  <c r="T40" i="6"/>
  <c r="Q40" i="6"/>
  <c r="U40" i="6"/>
  <c r="N40" i="6"/>
  <c r="R40" i="6"/>
  <c r="V40" i="6"/>
  <c r="O40" i="6"/>
  <c r="S40" i="6"/>
  <c r="W40" i="6"/>
  <c r="F40" i="6"/>
  <c r="G40" i="6"/>
  <c r="K40" i="6"/>
  <c r="H40" i="6"/>
  <c r="L40" i="6"/>
  <c r="D40" i="6"/>
  <c r="I40" i="6"/>
  <c r="M40" i="6"/>
  <c r="E40" i="6"/>
  <c r="J40" i="6"/>
  <c r="A42" i="6"/>
  <c r="C41" i="6"/>
  <c r="N41" i="6" l="1"/>
  <c r="R41" i="6"/>
  <c r="V41" i="6"/>
  <c r="O41" i="6"/>
  <c r="S41" i="6"/>
  <c r="W41" i="6"/>
  <c r="P41" i="6"/>
  <c r="T41" i="6"/>
  <c r="Q41" i="6"/>
  <c r="U41" i="6"/>
  <c r="E41" i="6"/>
  <c r="I41" i="6"/>
  <c r="M41" i="6"/>
  <c r="F41" i="6"/>
  <c r="J41" i="6"/>
  <c r="G41" i="6"/>
  <c r="K41" i="6"/>
  <c r="D41" i="6"/>
  <c r="H41" i="6"/>
  <c r="L41" i="6"/>
  <c r="A43" i="6"/>
  <c r="C42" i="6"/>
  <c r="P42" i="6" l="1"/>
  <c r="T42" i="6"/>
  <c r="Q42" i="6"/>
  <c r="U42" i="6"/>
  <c r="N42" i="6"/>
  <c r="R42" i="6"/>
  <c r="V42" i="6"/>
  <c r="O42" i="6"/>
  <c r="S42" i="6"/>
  <c r="W42" i="6"/>
  <c r="G42" i="6"/>
  <c r="K42" i="6"/>
  <c r="D42" i="6"/>
  <c r="H42" i="6"/>
  <c r="L42" i="6"/>
  <c r="E42" i="6"/>
  <c r="I42" i="6"/>
  <c r="M42" i="6"/>
  <c r="F42" i="6"/>
  <c r="J42" i="6"/>
  <c r="A44" i="6"/>
  <c r="C43" i="6"/>
  <c r="N43" i="6" l="1"/>
  <c r="R43" i="6"/>
  <c r="V43" i="6"/>
  <c r="O43" i="6"/>
  <c r="S43" i="6"/>
  <c r="W43" i="6"/>
  <c r="P43" i="6"/>
  <c r="T43" i="6"/>
  <c r="Q43" i="6"/>
  <c r="U43" i="6"/>
  <c r="E43" i="6"/>
  <c r="I43" i="6"/>
  <c r="M43" i="6"/>
  <c r="F43" i="6"/>
  <c r="J43" i="6"/>
  <c r="G43" i="6"/>
  <c r="K43" i="6"/>
  <c r="D43" i="6"/>
  <c r="H43" i="6"/>
  <c r="L43" i="6"/>
  <c r="C44" i="6"/>
  <c r="A45" i="6"/>
  <c r="P44" i="6" l="1"/>
  <c r="T44" i="6"/>
  <c r="Q44" i="6"/>
  <c r="U44" i="6"/>
  <c r="N44" i="6"/>
  <c r="R44" i="6"/>
  <c r="V44" i="6"/>
  <c r="O44" i="6"/>
  <c r="S44" i="6"/>
  <c r="W44" i="6"/>
  <c r="G44" i="6"/>
  <c r="K44" i="6"/>
  <c r="D44" i="6"/>
  <c r="H44" i="6"/>
  <c r="L44" i="6"/>
  <c r="E44" i="6"/>
  <c r="I44" i="6"/>
  <c r="M44" i="6"/>
  <c r="F44" i="6"/>
  <c r="J44" i="6"/>
  <c r="A46" i="6"/>
  <c r="C45" i="6"/>
  <c r="N45" i="6" l="1"/>
  <c r="R45" i="6"/>
  <c r="V45" i="6"/>
  <c r="O45" i="6"/>
  <c r="S45" i="6"/>
  <c r="W45" i="6"/>
  <c r="P45" i="6"/>
  <c r="T45" i="6"/>
  <c r="Q45" i="6"/>
  <c r="U45" i="6"/>
  <c r="E45" i="6"/>
  <c r="I45" i="6"/>
  <c r="M45" i="6"/>
  <c r="F45" i="6"/>
  <c r="J45" i="6"/>
  <c r="G45" i="6"/>
  <c r="K45" i="6"/>
  <c r="D45" i="6"/>
  <c r="H45" i="6"/>
  <c r="L45" i="6"/>
  <c r="A47" i="6"/>
  <c r="C46" i="6"/>
  <c r="P46" i="6" l="1"/>
  <c r="T46" i="6"/>
  <c r="Q46" i="6"/>
  <c r="U46" i="6"/>
  <c r="N46" i="6"/>
  <c r="R46" i="6"/>
  <c r="V46" i="6"/>
  <c r="O46" i="6"/>
  <c r="S46" i="6"/>
  <c r="W46" i="6"/>
  <c r="G46" i="6"/>
  <c r="K46" i="6"/>
  <c r="D46" i="6"/>
  <c r="H46" i="6"/>
  <c r="L46" i="6"/>
  <c r="E46" i="6"/>
  <c r="I46" i="6"/>
  <c r="M46" i="6"/>
  <c r="F46" i="6"/>
  <c r="J46" i="6"/>
  <c r="A48" i="6"/>
  <c r="C47" i="6"/>
  <c r="N47" i="6" l="1"/>
  <c r="R47" i="6"/>
  <c r="V47" i="6"/>
  <c r="O47" i="6"/>
  <c r="S47" i="6"/>
  <c r="W47" i="6"/>
  <c r="P47" i="6"/>
  <c r="T47" i="6"/>
  <c r="Q47" i="6"/>
  <c r="U47" i="6"/>
  <c r="E47" i="6"/>
  <c r="I47" i="6"/>
  <c r="M47" i="6"/>
  <c r="F47" i="6"/>
  <c r="J47" i="6"/>
  <c r="G47" i="6"/>
  <c r="K47" i="6"/>
  <c r="D47" i="6"/>
  <c r="H47" i="6"/>
  <c r="L47" i="6"/>
  <c r="C48" i="6"/>
  <c r="A49" i="6"/>
  <c r="P48" i="6" l="1"/>
  <c r="T48" i="6"/>
  <c r="Q48" i="6"/>
  <c r="U48" i="6"/>
  <c r="N48" i="6"/>
  <c r="R48" i="6"/>
  <c r="V48" i="6"/>
  <c r="O48" i="6"/>
  <c r="S48" i="6"/>
  <c r="W48" i="6"/>
  <c r="G48" i="6"/>
  <c r="K48" i="6"/>
  <c r="D48" i="6"/>
  <c r="H48" i="6"/>
  <c r="L48" i="6"/>
  <c r="E48" i="6"/>
  <c r="I48" i="6"/>
  <c r="M48" i="6"/>
  <c r="F48" i="6"/>
  <c r="J48" i="6"/>
  <c r="A50" i="6"/>
  <c r="C49" i="6"/>
  <c r="N49" i="6" l="1"/>
  <c r="R49" i="6"/>
  <c r="V49" i="6"/>
  <c r="O49" i="6"/>
  <c r="S49" i="6"/>
  <c r="W49" i="6"/>
  <c r="P49" i="6"/>
  <c r="T49" i="6"/>
  <c r="Q49" i="6"/>
  <c r="U49" i="6"/>
  <c r="E49" i="6"/>
  <c r="I49" i="6"/>
  <c r="M49" i="6"/>
  <c r="F49" i="6"/>
  <c r="J49" i="6"/>
  <c r="G49" i="6"/>
  <c r="K49" i="6"/>
  <c r="D49" i="6"/>
  <c r="H49" i="6"/>
  <c r="L49" i="6"/>
  <c r="A51" i="6"/>
  <c r="C50" i="6"/>
  <c r="P50" i="6" l="1"/>
  <c r="T50" i="6"/>
  <c r="Q50" i="6"/>
  <c r="U50" i="6"/>
  <c r="N50" i="6"/>
  <c r="R50" i="6"/>
  <c r="V50" i="6"/>
  <c r="O50" i="6"/>
  <c r="S50" i="6"/>
  <c r="W50" i="6"/>
  <c r="G50" i="6"/>
  <c r="K50" i="6"/>
  <c r="D50" i="6"/>
  <c r="H50" i="6"/>
  <c r="L50" i="6"/>
  <c r="E50" i="6"/>
  <c r="I50" i="6"/>
  <c r="M50" i="6"/>
  <c r="F50" i="6"/>
  <c r="J50" i="6"/>
  <c r="A52" i="6"/>
  <c r="C51" i="6"/>
  <c r="N51" i="6" l="1"/>
  <c r="R51" i="6"/>
  <c r="V51" i="6"/>
  <c r="O51" i="6"/>
  <c r="S51" i="6"/>
  <c r="W51" i="6"/>
  <c r="P51" i="6"/>
  <c r="T51" i="6"/>
  <c r="Q51" i="6"/>
  <c r="U51" i="6"/>
  <c r="E51" i="6"/>
  <c r="I51" i="6"/>
  <c r="M51" i="6"/>
  <c r="F51" i="6"/>
  <c r="J51" i="6"/>
  <c r="G51" i="6"/>
  <c r="K51" i="6"/>
  <c r="D51" i="6"/>
  <c r="H51" i="6"/>
  <c r="L51" i="6"/>
  <c r="C52" i="6"/>
  <c r="A53" i="6"/>
  <c r="P52" i="6" l="1"/>
  <c r="T52" i="6"/>
  <c r="Q52" i="6"/>
  <c r="U52" i="6"/>
  <c r="N52" i="6"/>
  <c r="R52" i="6"/>
  <c r="V52" i="6"/>
  <c r="O52" i="6"/>
  <c r="S52" i="6"/>
  <c r="W52" i="6"/>
  <c r="G52" i="6"/>
  <c r="K52" i="6"/>
  <c r="D52" i="6"/>
  <c r="H52" i="6"/>
  <c r="L52" i="6"/>
  <c r="E52" i="6"/>
  <c r="I52" i="6"/>
  <c r="M52" i="6"/>
  <c r="F52" i="6"/>
  <c r="J52" i="6"/>
  <c r="A54" i="6"/>
  <c r="C53" i="6"/>
  <c r="N53" i="6" l="1"/>
  <c r="R53" i="6"/>
  <c r="V53" i="6"/>
  <c r="O53" i="6"/>
  <c r="S53" i="6"/>
  <c r="W53" i="6"/>
  <c r="P53" i="6"/>
  <c r="T53" i="6"/>
  <c r="Q53" i="6"/>
  <c r="U53" i="6"/>
  <c r="E53" i="6"/>
  <c r="I53" i="6"/>
  <c r="M53" i="6"/>
  <c r="F53" i="6"/>
  <c r="J53" i="6"/>
  <c r="G53" i="6"/>
  <c r="K53" i="6"/>
  <c r="D53" i="6"/>
  <c r="H53" i="6"/>
  <c r="L53" i="6"/>
  <c r="A55" i="6"/>
  <c r="C54" i="6"/>
  <c r="P54" i="6" l="1"/>
  <c r="T54" i="6"/>
  <c r="Q54" i="6"/>
  <c r="U54" i="6"/>
  <c r="N54" i="6"/>
  <c r="R54" i="6"/>
  <c r="V54" i="6"/>
  <c r="O54" i="6"/>
  <c r="S54" i="6"/>
  <c r="W54" i="6"/>
  <c r="G54" i="6"/>
  <c r="K54" i="6"/>
  <c r="D54" i="6"/>
  <c r="H54" i="6"/>
  <c r="L54" i="6"/>
  <c r="E54" i="6"/>
  <c r="I54" i="6"/>
  <c r="M54" i="6"/>
  <c r="F54" i="6"/>
  <c r="J54" i="6"/>
  <c r="A56" i="6"/>
  <c r="C55" i="6"/>
  <c r="N55" i="6" l="1"/>
  <c r="R55" i="6"/>
  <c r="V55" i="6"/>
  <c r="O55" i="6"/>
  <c r="S55" i="6"/>
  <c r="W55" i="6"/>
  <c r="P55" i="6"/>
  <c r="T55" i="6"/>
  <c r="Q55" i="6"/>
  <c r="U55" i="6"/>
  <c r="E55" i="6"/>
  <c r="F55" i="6"/>
  <c r="J55" i="6"/>
  <c r="G55" i="6"/>
  <c r="K55" i="6"/>
  <c r="D55" i="6"/>
  <c r="H55" i="6"/>
  <c r="L55" i="6"/>
  <c r="I55" i="6"/>
  <c r="M55" i="6"/>
  <c r="C56" i="6"/>
  <c r="A57" i="6"/>
  <c r="P56" i="6" l="1"/>
  <c r="T56" i="6"/>
  <c r="Q56" i="6"/>
  <c r="U56" i="6"/>
  <c r="N56" i="6"/>
  <c r="R56" i="6"/>
  <c r="V56" i="6"/>
  <c r="O56" i="6"/>
  <c r="S56" i="6"/>
  <c r="W56" i="6"/>
  <c r="G56" i="6"/>
  <c r="D56" i="6"/>
  <c r="E56" i="6"/>
  <c r="I56" i="6"/>
  <c r="M56" i="6"/>
  <c r="F56" i="6"/>
  <c r="J56" i="6"/>
  <c r="H56" i="6"/>
  <c r="L56" i="6"/>
  <c r="K56" i="6"/>
  <c r="A58" i="6"/>
  <c r="C57" i="6"/>
  <c r="N57" i="6" l="1"/>
  <c r="R57" i="6"/>
  <c r="V57" i="6"/>
  <c r="O57" i="6"/>
  <c r="S57" i="6"/>
  <c r="W57" i="6"/>
  <c r="P57" i="6"/>
  <c r="T57" i="6"/>
  <c r="Q57" i="6"/>
  <c r="U57" i="6"/>
  <c r="G57" i="6"/>
  <c r="K57" i="6"/>
  <c r="D57" i="6"/>
  <c r="H57" i="6"/>
  <c r="L57" i="6"/>
  <c r="F57" i="6"/>
  <c r="J57" i="6"/>
  <c r="E57" i="6"/>
  <c r="M57" i="6"/>
  <c r="I57" i="6"/>
  <c r="C58" i="6"/>
  <c r="A59" i="6"/>
  <c r="P58" i="6" l="1"/>
  <c r="T58" i="6"/>
  <c r="Q58" i="6"/>
  <c r="U58" i="6"/>
  <c r="N58" i="6"/>
  <c r="R58" i="6"/>
  <c r="V58" i="6"/>
  <c r="O58" i="6"/>
  <c r="S58" i="6"/>
  <c r="W58" i="6"/>
  <c r="E58" i="6"/>
  <c r="I58" i="6"/>
  <c r="M58" i="6"/>
  <c r="F58" i="6"/>
  <c r="J58" i="6"/>
  <c r="D58" i="6"/>
  <c r="L58" i="6"/>
  <c r="G58" i="6"/>
  <c r="H58" i="6"/>
  <c r="K58" i="6"/>
  <c r="A60" i="6"/>
  <c r="C59" i="6"/>
  <c r="N59" i="6" l="1"/>
  <c r="R59" i="6"/>
  <c r="V59" i="6"/>
  <c r="O59" i="6"/>
  <c r="S59" i="6"/>
  <c r="W59" i="6"/>
  <c r="P59" i="6"/>
  <c r="T59" i="6"/>
  <c r="Q59" i="6"/>
  <c r="U59" i="6"/>
  <c r="G59" i="6"/>
  <c r="K59" i="6"/>
  <c r="D59" i="6"/>
  <c r="H59" i="6"/>
  <c r="L59" i="6"/>
  <c r="J59" i="6"/>
  <c r="F59" i="6"/>
  <c r="I59" i="6"/>
  <c r="E59" i="6"/>
  <c r="M59" i="6"/>
  <c r="C60" i="6"/>
  <c r="A61" i="6"/>
  <c r="P60" i="6" l="1"/>
  <c r="Q60" i="6"/>
  <c r="N60" i="6"/>
  <c r="R60" i="6"/>
  <c r="V60" i="6"/>
  <c r="O60" i="6"/>
  <c r="S60" i="6"/>
  <c r="W60" i="6"/>
  <c r="T60" i="6"/>
  <c r="U60" i="6"/>
  <c r="E60" i="6"/>
  <c r="I60" i="6"/>
  <c r="M60" i="6"/>
  <c r="F60" i="6"/>
  <c r="J60" i="6"/>
  <c r="H60" i="6"/>
  <c r="L60" i="6"/>
  <c r="K60" i="6"/>
  <c r="D60" i="6"/>
  <c r="G60" i="6"/>
  <c r="A62" i="6"/>
  <c r="C61" i="6"/>
  <c r="P61" i="6" l="1"/>
  <c r="T61" i="6"/>
  <c r="Q61" i="6"/>
  <c r="U61" i="6"/>
  <c r="N61" i="6"/>
  <c r="V61" i="6"/>
  <c r="O61" i="6"/>
  <c r="W61" i="6"/>
  <c r="R61" i="6"/>
  <c r="G61" i="6"/>
  <c r="K61" i="6"/>
  <c r="S61" i="6"/>
  <c r="D61" i="6"/>
  <c r="H61" i="6"/>
  <c r="L61" i="6"/>
  <c r="F61" i="6"/>
  <c r="E61" i="6"/>
  <c r="I61" i="6"/>
  <c r="J61" i="6"/>
  <c r="M61" i="6"/>
  <c r="A63" i="6"/>
  <c r="C63" i="6" s="1"/>
  <c r="C62" i="6"/>
  <c r="N62" i="6" l="1"/>
  <c r="R62" i="6"/>
  <c r="V62" i="6"/>
  <c r="O62" i="6"/>
  <c r="S62" i="6"/>
  <c r="W62" i="6"/>
  <c r="T62" i="6"/>
  <c r="U62" i="6"/>
  <c r="P62" i="6"/>
  <c r="Q62" i="6"/>
  <c r="E62" i="6"/>
  <c r="I62" i="6"/>
  <c r="M62" i="6"/>
  <c r="F62" i="6"/>
  <c r="J62" i="6"/>
  <c r="D62" i="6"/>
  <c r="L62" i="6"/>
  <c r="H62" i="6"/>
  <c r="K62" i="6"/>
  <c r="G62" i="6"/>
  <c r="P63" i="6"/>
  <c r="T63" i="6"/>
  <c r="Q63" i="6"/>
  <c r="U63" i="6"/>
  <c r="R63" i="6"/>
  <c r="M63" i="6"/>
  <c r="S63" i="6"/>
  <c r="V63" i="6"/>
  <c r="W63" i="6"/>
  <c r="N63" i="6"/>
  <c r="G63" i="6"/>
  <c r="K63" i="6"/>
  <c r="O63" i="6"/>
  <c r="D63" i="6"/>
  <c r="H63" i="6"/>
  <c r="L63" i="6"/>
  <c r="J63" i="6"/>
  <c r="E63" i="6"/>
  <c r="F63" i="6"/>
  <c r="I63" i="6"/>
  <c r="C64" i="1" l="1"/>
  <c r="C4" i="1" l="1"/>
  <c r="A5" i="1"/>
  <c r="A6" i="1" l="1"/>
  <c r="C5" i="1"/>
  <c r="C6" i="1" l="1"/>
  <c r="A7" i="1"/>
  <c r="A8" i="1" l="1"/>
  <c r="C7" i="1"/>
  <c r="A9" i="1" l="1"/>
  <c r="C8" i="1"/>
  <c r="A10" i="1" l="1"/>
  <c r="C9" i="1"/>
  <c r="A11" i="1" l="1"/>
  <c r="C10" i="1"/>
  <c r="A12" i="1" l="1"/>
  <c r="C11" i="1"/>
  <c r="A13" i="1" l="1"/>
  <c r="C12" i="1"/>
  <c r="A14" i="1" l="1"/>
  <c r="C13" i="1"/>
  <c r="A15" i="1" l="1"/>
  <c r="C14" i="1"/>
  <c r="A16" i="1" l="1"/>
  <c r="C15" i="1"/>
  <c r="A17" i="1" l="1"/>
  <c r="C16" i="1"/>
  <c r="A18" i="1" l="1"/>
  <c r="C17" i="1"/>
  <c r="A19" i="1" l="1"/>
  <c r="C18" i="1"/>
  <c r="A20" i="1" l="1"/>
  <c r="C19" i="1"/>
  <c r="A21" i="1" l="1"/>
  <c r="C20" i="1"/>
  <c r="A22" i="1" l="1"/>
  <c r="C21" i="1"/>
  <c r="A23" i="1" l="1"/>
  <c r="C22" i="1"/>
  <c r="A24" i="1" l="1"/>
  <c r="C23" i="1"/>
  <c r="A25" i="1" l="1"/>
  <c r="C24" i="1"/>
  <c r="A26" i="1" l="1"/>
  <c r="C25" i="1"/>
  <c r="A27" i="1" l="1"/>
  <c r="C26" i="1"/>
  <c r="A28" i="1" l="1"/>
  <c r="C27" i="1"/>
  <c r="A29" i="1" l="1"/>
  <c r="C28" i="1"/>
  <c r="A30" i="1" l="1"/>
  <c r="C29" i="1"/>
  <c r="A31" i="1" l="1"/>
  <c r="C30" i="1"/>
  <c r="A32" i="1" l="1"/>
  <c r="C31" i="1"/>
  <c r="A33" i="1" l="1"/>
  <c r="C32" i="1"/>
  <c r="A34" i="1" l="1"/>
  <c r="C33" i="1"/>
  <c r="A35" i="1" l="1"/>
  <c r="C34" i="1"/>
  <c r="A36" i="1" l="1"/>
  <c r="C35" i="1"/>
  <c r="A37" i="1" l="1"/>
  <c r="C36" i="1"/>
  <c r="A38" i="1" l="1"/>
  <c r="C37" i="1"/>
  <c r="A39" i="1" l="1"/>
  <c r="C38" i="1"/>
  <c r="A40" i="1" l="1"/>
  <c r="C39" i="1"/>
  <c r="A41" i="1" l="1"/>
  <c r="C40" i="1"/>
  <c r="A42" i="1" l="1"/>
  <c r="C41" i="1"/>
  <c r="A43" i="1" l="1"/>
  <c r="C42" i="1"/>
  <c r="A44" i="1" l="1"/>
  <c r="C43" i="1"/>
  <c r="A45" i="1" l="1"/>
  <c r="C44" i="1"/>
  <c r="A46" i="1" l="1"/>
  <c r="C45" i="1"/>
  <c r="A47" i="1" l="1"/>
  <c r="C46" i="1"/>
  <c r="A48" i="1" l="1"/>
  <c r="C47" i="1"/>
  <c r="A49" i="1" l="1"/>
  <c r="C48" i="1"/>
  <c r="A50" i="1" l="1"/>
  <c r="C49" i="1"/>
  <c r="A51" i="1" l="1"/>
  <c r="C50" i="1"/>
  <c r="A52" i="1" l="1"/>
  <c r="C51" i="1"/>
  <c r="A53" i="1" l="1"/>
  <c r="C52" i="1"/>
  <c r="A54" i="1" l="1"/>
  <c r="C53" i="1"/>
  <c r="A55" i="1" l="1"/>
  <c r="C54" i="1"/>
  <c r="A56" i="1" l="1"/>
  <c r="C55" i="1"/>
  <c r="A57" i="1" l="1"/>
  <c r="C56" i="1"/>
  <c r="A58" i="1" l="1"/>
  <c r="C57" i="1"/>
  <c r="A59" i="1" l="1"/>
  <c r="C58" i="1"/>
  <c r="A60" i="1" l="1"/>
  <c r="C59" i="1"/>
  <c r="A61" i="1" l="1"/>
  <c r="C60" i="1"/>
  <c r="A62" i="1" l="1"/>
  <c r="C61" i="1"/>
  <c r="A63" i="1" l="1"/>
  <c r="C62" i="1"/>
  <c r="C63" i="1" l="1"/>
</calcChain>
</file>

<file path=xl/sharedStrings.xml><?xml version="1.0" encoding="utf-8"?>
<sst xmlns="http://schemas.openxmlformats.org/spreadsheetml/2006/main" count="231" uniqueCount="119">
  <si>
    <t>WORKERS AT PLANT</t>
  </si>
  <si>
    <t>DATE</t>
  </si>
  <si>
    <t>WORKERS</t>
  </si>
  <si>
    <t>Serial number:</t>
  </si>
  <si>
    <t>Return Type:</t>
  </si>
  <si>
    <t>Start day:</t>
  </si>
  <si>
    <t>Days:</t>
  </si>
  <si>
    <t>WEEKDAY</t>
  </si>
  <si>
    <t>WEEKNUM</t>
  </si>
  <si>
    <t>DAY</t>
  </si>
  <si>
    <t>1 (Sunday) through 7 (Saturday)</t>
  </si>
  <si>
    <t>1 (Monday) through 7 (Sunday)</t>
  </si>
  <si>
    <t>0 (Monday) through 6 (Sunday)</t>
  </si>
  <si>
    <t>1 (Tuesday) through 7 (Monday)</t>
  </si>
  <si>
    <t>1 (Wednesday) through 7 (Tuesday)</t>
  </si>
  <si>
    <t>1 (Thursday) through 7 (Wednesday)</t>
  </si>
  <si>
    <t>1 (Friday) through 7 (Thursday)</t>
  </si>
  <si>
    <t>1 (Saturday) through 7 (Friday)</t>
  </si>
  <si>
    <t>Sunday</t>
  </si>
  <si>
    <t>Monday</t>
  </si>
  <si>
    <t>Tuesday</t>
  </si>
  <si>
    <t>Wednesday</t>
  </si>
  <si>
    <t>Thursday</t>
  </si>
  <si>
    <t>Friday</t>
  </si>
  <si>
    <t>Saturday</t>
  </si>
  <si>
    <t>Employee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</si>
  <si>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</si>
  <si>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</si>
  <si>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</si>
  <si>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</si>
  <si>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</si>
  <si>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</si>
  <si>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</si>
  <si>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</si>
  <si>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</si>
  <si>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</si>
  <si>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</si>
  <si>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</si>
  <si>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</si>
  <si>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</si>
  <si>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</si>
  <si>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Juan Lopez</t>
  </si>
  <si>
    <t>Pedro Juarez</t>
  </si>
  <si>
    <t>Luis Arrioste</t>
  </si>
  <si>
    <t>Carlos Morales</t>
  </si>
  <si>
    <t>Edgar Cancinos</t>
  </si>
  <si>
    <t>Luisa Batrez</t>
  </si>
  <si>
    <t>Doris España</t>
  </si>
  <si>
    <t>Karla Marin</t>
  </si>
  <si>
    <t>No.</t>
  </si>
  <si>
    <t>Luisa Mendez</t>
  </si>
  <si>
    <t>Stephany Orozco</t>
  </si>
  <si>
    <t>Pedro Mencos</t>
  </si>
  <si>
    <t>Alejadnro Hernandez</t>
  </si>
  <si>
    <t>Herbert Gonzalez</t>
  </si>
  <si>
    <t>Oscar Acuña</t>
  </si>
  <si>
    <t>Juan Sevilla</t>
  </si>
  <si>
    <t>Maria Lopez</t>
  </si>
  <si>
    <t>Luis Castro</t>
  </si>
  <si>
    <t>Ana Regina Rodas</t>
  </si>
  <si>
    <t>Sebastian Ruiz</t>
  </si>
  <si>
    <t>Marla Selva</t>
  </si>
  <si>
    <t>Lunes</t>
  </si>
  <si>
    <t>Martes</t>
  </si>
  <si>
    <t>Miercoles</t>
  </si>
  <si>
    <t>Jueves</t>
  </si>
  <si>
    <t>Viernes</t>
  </si>
  <si>
    <t>Sabado</t>
  </si>
  <si>
    <t>Domingo</t>
  </si>
  <si>
    <t>from A4 to D63</t>
  </si>
  <si>
    <t>5. Use formula Weekday in cells D4 to D63</t>
  </si>
  <si>
    <t>6. Applied Weekday formula in cells E4 to M63</t>
  </si>
  <si>
    <t>change the Return Type in each colum acoording to the number reference E3 to M3</t>
  </si>
  <si>
    <t>Instructions in Formula Days worksheet</t>
  </si>
  <si>
    <t>hint: use the cell to do a fast copy of the formula</t>
  </si>
  <si>
    <t>change the Return Type in each colum acoording to the number reference 03 to W3</t>
  </si>
  <si>
    <t>Contract Begin</t>
  </si>
  <si>
    <t>14. Analize the results of  Weeknum, if the year have 52 week, why sometimer the date has 51 as week and sometimes 53?</t>
  </si>
  <si>
    <t>13. Use formula Weeknum in cells O4 to W63</t>
  </si>
  <si>
    <t>12. Use formula Weeknum in cells n4 to N63</t>
  </si>
  <si>
    <t>8. Conditional format all sundays with more than 35 workers: font red and underline</t>
  </si>
  <si>
    <t>9. Conditional formatting all saturdays wih more than 40 workers: font blue</t>
  </si>
  <si>
    <t>Instructions in Graficas y contratos worksheet</t>
  </si>
  <si>
    <t>1. Use formula workday in cells D2 to D21 to define date when a contract of 10 months will end</t>
  </si>
  <si>
    <t>Last day of actvities</t>
  </si>
  <si>
    <t>C2 to C21</t>
  </si>
  <si>
    <t>Holidays:</t>
  </si>
  <si>
    <t>None</t>
  </si>
  <si>
    <t>Question: What do you think happened with the end day contract? Make sense the end date?</t>
  </si>
  <si>
    <t>Contract End Date 
Int weekends</t>
  </si>
  <si>
    <t>10 months, 30 days per month = 300 days</t>
  </si>
  <si>
    <t>Weekday:</t>
  </si>
  <si>
    <t>Network days</t>
  </si>
  <si>
    <t>2. Use formula workday.intl in cells E2 to E21 to define date when a contract of 10 months will end</t>
  </si>
  <si>
    <t>3. Use formula Networkdays in cells from F2 to F21</t>
  </si>
  <si>
    <t>End date:</t>
  </si>
  <si>
    <t>E2 to E21</t>
  </si>
  <si>
    <t>Question: Why do you think the number of networkdays is differente from the 300 we use in workday formula?</t>
  </si>
  <si>
    <t>Real date for ending contract</t>
  </si>
  <si>
    <t>Contract End Date 
(9 months)</t>
  </si>
  <si>
    <t>Question: Compare both dates for ending contract, What do you think happened when we define weekend?</t>
  </si>
  <si>
    <t>Network.Intl days</t>
  </si>
  <si>
    <t>D2 to D21</t>
  </si>
  <si>
    <t>4. Use formula Networkdays.Intl in cells from G2 to G21</t>
  </si>
  <si>
    <t>5. How many workdays should a contract of 10 month should really  implied? Analize this number  and used to define Aprox contract end date in cell from H2 to H21</t>
  </si>
  <si>
    <t>3 (only Monday &amp; tuesday are weekend)</t>
  </si>
  <si>
    <t>Analize this date, what date should put? Hint(use Network formula)</t>
  </si>
  <si>
    <t>6. Fill I2 to I21 with the last day the contractor worked, last day of activities</t>
  </si>
  <si>
    <t>7. Conditional Formating: fill the name of the contractors that excedd working their contract</t>
  </si>
  <si>
    <t>8. Make a graphic of the amount of tasks that the contractors made per day (Monday to Sunday)</t>
  </si>
  <si>
    <t>9. If the company pay double on Monday and Tuesday, do you think contracters are taking advantage of that?</t>
  </si>
  <si>
    <t>1. Applied formula Today inc ell C2 (instructions)</t>
  </si>
  <si>
    <t>2. Applied formula Now inc ell C3 (instructions)</t>
  </si>
  <si>
    <t>3. What is the date, 3 days prior to today, put it in cell C4 (instructions)</t>
  </si>
  <si>
    <t>4. What is the date, 3 days after today, put it in cell C5 (instructions)</t>
  </si>
  <si>
    <t>7. Use conditional formating to fill the cells with R(255) G (0) B (255), the date that is 180 days prior to today</t>
  </si>
  <si>
    <t>9. Conditional formatting all saturdays wih more than 40 workers: font blue and bold</t>
  </si>
  <si>
    <t>11. Unhide Colum C and analize the results of Weekday, Why do you think there are some many options for serial number in the weekdays formula?</t>
  </si>
  <si>
    <t xml:space="preserve">10. change the order of the rules, put fill red at the top and the check box stop if true. Something change?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</si>
</sst>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0A]dddd\ d&quot; de &quot;mmmm&quot; de &quot;yyyy;@"/>
    <numFmt numFmtId="167" formatCode="dd\-mmm\-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left" indent="3"/>
    </xf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right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4" xfId="0" applyBorder="1" applyAlignment="1">
      <alignment horizontal="left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50">
    <dxf>
      <font>
        <b/>
        <i val="0"/>
        <color rgb="FF0070C0"/>
      </font>
    </dxf>
    <dxf>
      <font>
        <u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numFmt numFmtId="167" formatCode="dd\-mmm\-yyyy"/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00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D7-4053-8311-29B8CD8B09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D7-4053-8311-29B8CD8B09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D7-4053-8311-29B8CD8B09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D7-4053-8311-29B8CD8B09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D7-4053-8311-29B8CD8B09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D7-4053-8311-29B8CD8B09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D7-4053-8311-29B8CD8B09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'Graficas y contratos (Ejemplo)'!$L$44:$L$50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'Graficas y contratos (Ejemplo)'!$M$44:$M$50</c:f>
              <c:numCache>
                <c:formatCode>General</c:formatCode>
                <c:ptCount val="7"/>
                <c:pt idx="0">
                  <c:v>47</c:v>
                </c:pt>
                <c:pt idx="1">
                  <c:v>36</c:v>
                </c:pt>
                <c:pt idx="2">
                  <c:v>57</c:v>
                </c:pt>
                <c:pt idx="3">
                  <c:v>47</c:v>
                </c:pt>
                <c:pt idx="4">
                  <c:v>38</c:v>
                </c:pt>
                <c:pt idx="5">
                  <c:v>40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7D7-4053-8311-29B8CD8B0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'Graficas y contratos (Ejemplo)'!$L$44:$L$50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  <c:pt idx="6">
                  <c:v>Domingo</c:v>
                </c:pt>
              </c:strCache>
            </c:strRef>
          </c:cat>
          <c:val>
            <c:numRef>
              <c:f>'Graficas y contratos (Ejemplo)'!$M$44:$M$50</c:f>
              <c:numCache>
                <c:formatCode>General</c:formatCode>
                <c:ptCount val="7"/>
                <c:pt idx="0">
                  <c:v>47</c:v>
                </c:pt>
                <c:pt idx="1">
                  <c:v>36</c:v>
                </c:pt>
                <c:pt idx="2">
                  <c:v>57</c:v>
                </c:pt>
                <c:pt idx="3">
                  <c:v>47</c:v>
                </c:pt>
                <c:pt idx="4">
                  <c:v>38</c:v>
                </c:pt>
                <c:pt idx="5">
                  <c:v>40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F-47E8-8427-98F149BE3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34796623"/>
        <c:axId val="266417823"/>
        <c:axId val="0"/>
      </c:bar3DChart>
      <c:catAx>
        <c:axId val="43479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417823"/>
        <c:crosses val="autoZero"/>
        <c:auto val="1"/>
        <c:lblAlgn val="ctr"/>
        <c:lblOffset val="100"/>
        <c:noMultiLvlLbl val="0"/>
      </c:catAx>
      <c:valAx>
        <c:axId val="2664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9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22</xdr:row>
      <xdr:rowOff>45720</xdr:rowOff>
    </xdr:from>
    <xdr:to>
      <xdr:col>4</xdr:col>
      <xdr:colOff>1043940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A42A5-60A3-42C9-A8C4-326FE97FC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1196340</xdr:colOff>
      <xdr:row>22</xdr:row>
      <xdr:rowOff>15240</xdr:rowOff>
    </xdr:from>
    <xdr:to>
      <xdr:col>9</xdr:col>
      <xdr:colOff>99060</xdr:colOff>
      <xdr:row>37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78EDF3-4ECB-44AB-92B9-5ED084718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1" displayName="Tabla1" ref="A1:X21" totalsRowShown="0" headerRowDxfId="49">
  <autoFilter ref="A1:X21"/>
  <tableColumns count="24">
    <tableColumn id="1" name="No."/>
    <tableColumn id="2" name="Employee"/>
    <tableColumn id="18" name="Contract Begin" dataDxfId="48"/>
    <tableColumn id="21" name="Contract End Date _x000a_(9 months)" dataDxfId="47"/>
    <tableColumn id="22" name="Contract End Date _x000a_Int weekends" dataDxfId="46"/>
    <tableColumn id="27" name="Network days" dataDxfId="45"/>
    <tableColumn id="23" name="Network.Intl days" dataDxfId="44"/>
    <tableColumn id="25" name="Real date for ending contract" dataDxfId="27"/>
    <tableColumn id="19" name="Last day of actvities" dataDxfId="43"/>
    <tableColumn id="3" name="Task 1" dataDxfId="42"/>
    <tableColumn id="4" name="Task 2" dataDxfId="41"/>
    <tableColumn id="5" name="Task 3" dataDxfId="40"/>
    <tableColumn id="6" name="Task 4" dataDxfId="39"/>
    <tableColumn id="7" name="Task 5" dataDxfId="38"/>
    <tableColumn id="8" name="Task 6" dataDxfId="37"/>
    <tableColumn id="9" name="Task 7" dataDxfId="36"/>
    <tableColumn id="10" name="Task 8" dataDxfId="35"/>
    <tableColumn id="11" name="Task 9" dataDxfId="34"/>
    <tableColumn id="12" name="Task 10" dataDxfId="33"/>
    <tableColumn id="13" name="Task 11" dataDxfId="32"/>
    <tableColumn id="14" name="Task 12" dataDxfId="31"/>
    <tableColumn id="15" name="Task 13" dataDxfId="30"/>
    <tableColumn id="16" name="Task 14" dataDxfId="29"/>
    <tableColumn id="17" name="Task 15" dataDxfId="2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:X21" totalsRowShown="0" headerRowDxfId="26">
  <autoFilter ref="A1:X21"/>
  <tableColumns count="24">
    <tableColumn id="1" name="No."/>
    <tableColumn id="2" name="Employee"/>
    <tableColumn id="18" name="Contract Begin" dataDxfId="25"/>
    <tableColumn id="21" name="Contract End Date _x000a_(9 months)" dataDxfId="24">
      <calculatedColumnFormula>WORKDAY(Tabla13[[#This Row],[Contract Begin]],300)</calculatedColumnFormula>
    </tableColumn>
    <tableColumn id="22" name="Contract End Date _x000a_Int weekends" dataDxfId="23">
      <calculatedColumnFormula>WORKDAY.INTL(Tabla13[[#This Row],[Contract Begin]],300,3)</calculatedColumnFormula>
    </tableColumn>
    <tableColumn id="27" name="Network days" dataDxfId="22">
      <calculatedColumnFormula>NETWORKDAYS(Tabla13[[#This Row],[Contract Begin]],Tabla13[[#This Row],[Contract End Date 
(9 months)]])</calculatedColumnFormula>
    </tableColumn>
    <tableColumn id="23" name="Network.Intl days" dataDxfId="21">
      <calculatedColumnFormula>NETWORKDAYS.INTL(Tabla13[[#This Row],[Contract Begin]],Tabla13[[#This Row],[Contract End Date 
Int weekends]],3)</calculatedColumnFormula>
    </tableColumn>
    <tableColumn id="25" name="Real date for ending contract" dataDxfId="20">
      <calculatedColumnFormula>WORKDAY.INTL(Tabla13[[#This Row],[Contract Begin]],NETWORKDAYS.INTL(Tabla13[[#This Row],[Contract Begin]],Tabla13[[#This Row],[Contract Begin]]+300,3),3)</calculatedColumnFormula>
    </tableColumn>
    <tableColumn id="19" name="Last day of actvities" dataDxfId="19"/>
    <tableColumn id="3" name="Task 1" dataDxfId="18"/>
    <tableColumn id="4" name="Task 2" dataDxfId="17"/>
    <tableColumn id="5" name="Task 3" dataDxfId="16"/>
    <tableColumn id="6" name="Task 4" dataDxfId="15"/>
    <tableColumn id="7" name="Task 5" dataDxfId="14"/>
    <tableColumn id="8" name="Task 6" dataDxfId="13"/>
    <tableColumn id="9" name="Task 7" dataDxfId="12"/>
    <tableColumn id="10" name="Task 8" dataDxfId="11"/>
    <tableColumn id="11" name="Task 9" dataDxfId="10"/>
    <tableColumn id="12" name="Task 10" dataDxfId="9"/>
    <tableColumn id="13" name="Task 11" dataDxfId="8"/>
    <tableColumn id="14" name="Task 12" dataDxfId="7"/>
    <tableColumn id="15" name="Task 13" dataDxfId="6"/>
    <tableColumn id="16" name="Task 14" dataDxfId="5"/>
    <tableColumn id="17" name="Task 15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"/>
  <sheetViews>
    <sheetView showGridLines="0" tabSelected="1" topLeftCell="A24" zoomScale="115" zoomScaleNormal="115" workbookViewId="0">
      <selection activeCell="A42" sqref="A42:B42"/>
    </sheetView>
  </sheetViews>
  <sheetFormatPr defaultColWidth="9.109375" defaultRowHeight="14.4" x14ac:dyDescent="0.3"/>
  <cols>
    <col min="1" max="1" width="38.44140625" customWidth="1"/>
    <col min="2" max="2" width="62.6640625" customWidth="1"/>
    <col min="3" max="3" width="13.44140625" style="2" customWidth="1"/>
    <col min="4" max="6" width="13.44140625" customWidth="1"/>
    <col min="7" max="13" width="8.6640625" customWidth="1"/>
    <col min="14" max="23" width="6.109375" customWidth="1"/>
  </cols>
  <sheetData>
    <row r="1" spans="1:3" ht="23.4" x14ac:dyDescent="0.45">
      <c r="A1" s="10" t="s">
        <v>73</v>
      </c>
    </row>
    <row r="2" spans="1:3" x14ac:dyDescent="0.3">
      <c r="A2" s="21" t="s">
        <v>111</v>
      </c>
      <c r="C2" s="4"/>
    </row>
    <row r="3" spans="1:3" x14ac:dyDescent="0.3">
      <c r="A3" s="21" t="s">
        <v>112</v>
      </c>
      <c r="C3" s="4"/>
    </row>
    <row r="4" spans="1:3" x14ac:dyDescent="0.3">
      <c r="A4" s="21" t="s">
        <v>113</v>
      </c>
      <c r="C4" s="4"/>
    </row>
    <row r="5" spans="1:3" x14ac:dyDescent="0.3">
      <c r="A5" s="21" t="s">
        <v>114</v>
      </c>
      <c r="C5" s="4"/>
    </row>
    <row r="6" spans="1:3" x14ac:dyDescent="0.3">
      <c r="A6" t="s">
        <v>70</v>
      </c>
    </row>
    <row r="7" spans="1:3" x14ac:dyDescent="0.3">
      <c r="A7" s="22" t="s">
        <v>3</v>
      </c>
      <c r="B7" t="s">
        <v>69</v>
      </c>
    </row>
    <row r="8" spans="1:3" x14ac:dyDescent="0.3">
      <c r="A8" s="22" t="s">
        <v>4</v>
      </c>
      <c r="B8" s="11">
        <v>1</v>
      </c>
    </row>
    <row r="9" spans="1:3" x14ac:dyDescent="0.3">
      <c r="A9" t="s">
        <v>71</v>
      </c>
    </row>
    <row r="10" spans="1:3" x14ac:dyDescent="0.3">
      <c r="A10" s="22" t="s">
        <v>3</v>
      </c>
      <c r="B10" t="s">
        <v>69</v>
      </c>
    </row>
    <row r="11" spans="1:3" x14ac:dyDescent="0.3">
      <c r="A11" s="22" t="s">
        <v>4</v>
      </c>
      <c r="B11" t="s">
        <v>72</v>
      </c>
    </row>
    <row r="12" spans="1:3" x14ac:dyDescent="0.3">
      <c r="B12" t="s">
        <v>74</v>
      </c>
    </row>
    <row r="13" spans="1:3" x14ac:dyDescent="0.3">
      <c r="A13" t="s">
        <v>115</v>
      </c>
    </row>
    <row r="14" spans="1:3" x14ac:dyDescent="0.3">
      <c r="A14" t="s">
        <v>80</v>
      </c>
    </row>
    <row r="15" spans="1:3" x14ac:dyDescent="0.3">
      <c r="A15" t="s">
        <v>116</v>
      </c>
    </row>
    <row r="16" spans="1:3" x14ac:dyDescent="0.3">
      <c r="A16" t="s">
        <v>118</v>
      </c>
    </row>
    <row r="17" spans="1:4" x14ac:dyDescent="0.3">
      <c r="A17" t="s">
        <v>117</v>
      </c>
    </row>
    <row r="18" spans="1:4" ht="28.2" customHeight="1" x14ac:dyDescent="0.3">
      <c r="A18" s="23"/>
      <c r="B18" s="24"/>
    </row>
    <row r="19" spans="1:4" x14ac:dyDescent="0.3">
      <c r="A19" t="s">
        <v>79</v>
      </c>
    </row>
    <row r="20" spans="1:4" x14ac:dyDescent="0.3">
      <c r="A20" s="22" t="s">
        <v>3</v>
      </c>
      <c r="B20" t="s">
        <v>69</v>
      </c>
    </row>
    <row r="21" spans="1:4" x14ac:dyDescent="0.3">
      <c r="A21" s="22" t="s">
        <v>4</v>
      </c>
      <c r="B21" s="11">
        <v>1</v>
      </c>
    </row>
    <row r="22" spans="1:4" x14ac:dyDescent="0.3">
      <c r="A22" t="s">
        <v>78</v>
      </c>
    </row>
    <row r="23" spans="1:4" x14ac:dyDescent="0.3">
      <c r="A23" s="22" t="s">
        <v>3</v>
      </c>
      <c r="B23" t="s">
        <v>69</v>
      </c>
    </row>
    <row r="24" spans="1:4" x14ac:dyDescent="0.3">
      <c r="A24" s="22" t="s">
        <v>4</v>
      </c>
      <c r="B24" t="s">
        <v>75</v>
      </c>
    </row>
    <row r="25" spans="1:4" x14ac:dyDescent="0.3">
      <c r="A25" s="9"/>
      <c r="B25" t="s">
        <v>74</v>
      </c>
    </row>
    <row r="26" spans="1:4" x14ac:dyDescent="0.3">
      <c r="A26" s="11" t="s">
        <v>77</v>
      </c>
    </row>
    <row r="27" spans="1:4" ht="31.8" customHeight="1" x14ac:dyDescent="0.3">
      <c r="A27" s="23"/>
      <c r="B27" s="24"/>
    </row>
    <row r="28" spans="1:4" x14ac:dyDescent="0.3">
      <c r="A28" s="9"/>
    </row>
    <row r="29" spans="1:4" ht="23.4" x14ac:dyDescent="0.45">
      <c r="A29" s="10" t="s">
        <v>82</v>
      </c>
    </row>
    <row r="30" spans="1:4" x14ac:dyDescent="0.3">
      <c r="A30" s="9"/>
    </row>
    <row r="31" spans="1:4" x14ac:dyDescent="0.3">
      <c r="A31" t="s">
        <v>83</v>
      </c>
      <c r="D31" s="11"/>
    </row>
    <row r="32" spans="1:4" x14ac:dyDescent="0.3">
      <c r="A32" s="22" t="s">
        <v>5</v>
      </c>
      <c r="B32" t="s">
        <v>85</v>
      </c>
    </row>
    <row r="33" spans="1:23" x14ac:dyDescent="0.3">
      <c r="A33" s="22" t="s">
        <v>6</v>
      </c>
      <c r="B33" t="s">
        <v>90</v>
      </c>
    </row>
    <row r="34" spans="1:23" x14ac:dyDescent="0.3">
      <c r="A34" s="22" t="s">
        <v>86</v>
      </c>
      <c r="B34" t="s">
        <v>87</v>
      </c>
    </row>
    <row r="35" spans="1:23" x14ac:dyDescent="0.3">
      <c r="A35" s="26" t="s">
        <v>88</v>
      </c>
      <c r="B35" s="26"/>
    </row>
    <row r="36" spans="1:23" ht="30" customHeight="1" x14ac:dyDescent="0.3">
      <c r="A36" s="23"/>
      <c r="B36" s="24"/>
    </row>
    <row r="37" spans="1:23" x14ac:dyDescent="0.3">
      <c r="A37" t="s">
        <v>93</v>
      </c>
    </row>
    <row r="38" spans="1:23" s="2" customFormat="1" x14ac:dyDescent="0.3">
      <c r="A38" s="22" t="s">
        <v>5</v>
      </c>
      <c r="B38" t="s">
        <v>85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s="2" customFormat="1" x14ac:dyDescent="0.3">
      <c r="A39" s="22" t="s">
        <v>6</v>
      </c>
      <c r="B39" t="s">
        <v>90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s="2" customFormat="1" x14ac:dyDescent="0.3">
      <c r="A40" s="27" t="s">
        <v>91</v>
      </c>
      <c r="B40" s="28" t="s">
        <v>105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s="2" customFormat="1" x14ac:dyDescent="0.3">
      <c r="A41" s="22" t="s">
        <v>86</v>
      </c>
      <c r="B41" t="s">
        <v>87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s="2" customFormat="1" x14ac:dyDescent="0.3">
      <c r="A42" s="26" t="s">
        <v>100</v>
      </c>
      <c r="B42" s="26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s="2" customFormat="1" ht="31.2" customHeight="1" x14ac:dyDescent="0.3">
      <c r="A43" s="23"/>
      <c r="B43" s="24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s="2" customFormat="1" x14ac:dyDescent="0.3">
      <c r="A44" t="s">
        <v>94</v>
      </c>
      <c r="B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s="2" customFormat="1" x14ac:dyDescent="0.3">
      <c r="A45" s="22" t="s">
        <v>5</v>
      </c>
      <c r="B45" t="s">
        <v>85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s="2" customFormat="1" x14ac:dyDescent="0.3">
      <c r="A46" s="22" t="s">
        <v>95</v>
      </c>
      <c r="B46" t="s">
        <v>102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1:23" s="2" customFormat="1" ht="12.6" customHeight="1" x14ac:dyDescent="0.3">
      <c r="A47" s="22" t="s">
        <v>86</v>
      </c>
      <c r="B47" t="s">
        <v>87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</row>
    <row r="48" spans="1:23" ht="12.6" customHeight="1" x14ac:dyDescent="0.3">
      <c r="A48" s="26" t="s">
        <v>97</v>
      </c>
      <c r="B48" s="26"/>
    </row>
    <row r="49" spans="1:2" ht="12.6" customHeight="1" x14ac:dyDescent="0.3">
      <c r="A49" s="23"/>
      <c r="B49" s="24"/>
    </row>
    <row r="50" spans="1:2" ht="12.6" customHeight="1" x14ac:dyDescent="0.3">
      <c r="A50" t="s">
        <v>103</v>
      </c>
    </row>
    <row r="51" spans="1:2" ht="12.6" customHeight="1" x14ac:dyDescent="0.3">
      <c r="A51" s="22" t="s">
        <v>5</v>
      </c>
      <c r="B51" t="s">
        <v>85</v>
      </c>
    </row>
    <row r="52" spans="1:2" ht="12.6" customHeight="1" x14ac:dyDescent="0.3">
      <c r="A52" s="22" t="s">
        <v>95</v>
      </c>
      <c r="B52" t="s">
        <v>96</v>
      </c>
    </row>
    <row r="53" spans="1:2" ht="12.6" customHeight="1" x14ac:dyDescent="0.3">
      <c r="A53" s="27" t="s">
        <v>91</v>
      </c>
      <c r="B53" s="28" t="s">
        <v>105</v>
      </c>
    </row>
    <row r="54" spans="1:2" ht="12.6" customHeight="1" x14ac:dyDescent="0.3">
      <c r="A54" s="22" t="s">
        <v>86</v>
      </c>
      <c r="B54" t="s">
        <v>87</v>
      </c>
    </row>
    <row r="55" spans="1:2" ht="12.6" customHeight="1" x14ac:dyDescent="0.3">
      <c r="A55" s="26" t="s">
        <v>97</v>
      </c>
      <c r="B55" s="26"/>
    </row>
    <row r="56" spans="1:2" ht="28.2" customHeight="1" x14ac:dyDescent="0.3">
      <c r="A56" s="23"/>
      <c r="B56" s="24"/>
    </row>
    <row r="57" spans="1:2" ht="29.4" customHeight="1" x14ac:dyDescent="0.3">
      <c r="A57" s="31" t="s">
        <v>104</v>
      </c>
      <c r="B57" s="31"/>
    </row>
    <row r="58" spans="1:2" x14ac:dyDescent="0.3">
      <c r="A58" s="22" t="s">
        <v>5</v>
      </c>
      <c r="B58" t="s">
        <v>85</v>
      </c>
    </row>
    <row r="59" spans="1:2" x14ac:dyDescent="0.3">
      <c r="A59" s="22" t="s">
        <v>95</v>
      </c>
      <c r="B59" t="s">
        <v>106</v>
      </c>
    </row>
    <row r="60" spans="1:2" x14ac:dyDescent="0.3">
      <c r="A60" s="27" t="s">
        <v>91</v>
      </c>
      <c r="B60" s="28" t="s">
        <v>105</v>
      </c>
    </row>
    <row r="61" spans="1:2" x14ac:dyDescent="0.3">
      <c r="A61" s="22" t="s">
        <v>86</v>
      </c>
      <c r="B61" t="s">
        <v>87</v>
      </c>
    </row>
    <row r="62" spans="1:2" x14ac:dyDescent="0.3">
      <c r="A62" s="11" t="s">
        <v>107</v>
      </c>
    </row>
    <row r="63" spans="1:2" x14ac:dyDescent="0.3">
      <c r="A63" s="11" t="s">
        <v>108</v>
      </c>
    </row>
    <row r="64" spans="1:2" x14ac:dyDescent="0.3">
      <c r="A64" t="s">
        <v>109</v>
      </c>
    </row>
    <row r="65" spans="1:1" x14ac:dyDescent="0.3">
      <c r="A65" t="s">
        <v>110</v>
      </c>
    </row>
  </sheetData>
  <mergeCells count="11">
    <mergeCell ref="A57:B57"/>
    <mergeCell ref="A42:B42"/>
    <mergeCell ref="A43:B43"/>
    <mergeCell ref="A48:B48"/>
    <mergeCell ref="A49:B49"/>
    <mergeCell ref="A55:B55"/>
    <mergeCell ref="A56:B56"/>
    <mergeCell ref="A18:B18"/>
    <mergeCell ref="A27:B27"/>
    <mergeCell ref="A35:B35"/>
    <mergeCell ref="A36:B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"/>
  <sheetViews>
    <sheetView showGridLines="0" workbookViewId="0">
      <pane xSplit="2" ySplit="3" topLeftCell="D4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ColWidth="9.109375" defaultRowHeight="14.4" x14ac:dyDescent="0.3"/>
  <cols>
    <col min="1" max="1" width="12.88671875" customWidth="1"/>
    <col min="2" max="2" width="10.5546875" customWidth="1"/>
    <col min="3" max="3" width="30" style="2" hidden="1" customWidth="1"/>
    <col min="4" max="13" width="8.6640625" customWidth="1"/>
    <col min="14" max="23" width="6.109375" customWidth="1"/>
  </cols>
  <sheetData>
    <row r="1" spans="1:23" ht="18" x14ac:dyDescent="0.35">
      <c r="A1" s="7" t="s">
        <v>0</v>
      </c>
      <c r="B1" s="7"/>
      <c r="D1" s="19" t="s">
        <v>7</v>
      </c>
      <c r="E1" s="19"/>
      <c r="F1" s="19"/>
      <c r="G1" s="19"/>
      <c r="H1" s="19"/>
      <c r="I1" s="19"/>
      <c r="J1" s="19"/>
      <c r="K1" s="19"/>
      <c r="L1" s="19"/>
      <c r="M1" s="19"/>
      <c r="N1" s="20" t="s">
        <v>8</v>
      </c>
      <c r="O1" s="20"/>
      <c r="P1" s="20"/>
      <c r="Q1" s="20"/>
      <c r="R1" s="20"/>
      <c r="S1" s="20"/>
      <c r="T1" s="20"/>
      <c r="U1" s="20"/>
      <c r="V1" s="20"/>
      <c r="W1" s="20"/>
    </row>
    <row r="2" spans="1:23" ht="40.799999999999997" x14ac:dyDescent="0.3">
      <c r="A2" s="3"/>
      <c r="B2" s="3"/>
      <c r="C2" s="8"/>
      <c r="D2" s="12" t="s">
        <v>10</v>
      </c>
      <c r="E2" s="12" t="s">
        <v>11</v>
      </c>
      <c r="F2" s="12" t="s">
        <v>12</v>
      </c>
      <c r="G2" s="12" t="s">
        <v>11</v>
      </c>
      <c r="H2" s="12" t="s">
        <v>13</v>
      </c>
      <c r="I2" s="12" t="s">
        <v>14</v>
      </c>
      <c r="J2" s="12" t="s">
        <v>15</v>
      </c>
      <c r="K2" s="12" t="s">
        <v>16</v>
      </c>
      <c r="L2" s="12" t="s">
        <v>17</v>
      </c>
      <c r="M2" s="12" t="s">
        <v>10</v>
      </c>
      <c r="N2" s="12" t="s">
        <v>18</v>
      </c>
      <c r="O2" s="12" t="s">
        <v>19</v>
      </c>
      <c r="P2" s="12" t="s">
        <v>19</v>
      </c>
      <c r="Q2" s="12" t="s">
        <v>20</v>
      </c>
      <c r="R2" s="12" t="s">
        <v>21</v>
      </c>
      <c r="S2" s="12" t="s">
        <v>22</v>
      </c>
      <c r="T2" s="12" t="s">
        <v>23</v>
      </c>
      <c r="U2" s="12" t="s">
        <v>24</v>
      </c>
      <c r="V2" s="12" t="s">
        <v>18</v>
      </c>
      <c r="W2" s="12" t="s">
        <v>19</v>
      </c>
    </row>
    <row r="3" spans="1:23" s="5" customFormat="1" x14ac:dyDescent="0.3">
      <c r="A3" s="13" t="s">
        <v>1</v>
      </c>
      <c r="B3" s="13" t="s">
        <v>2</v>
      </c>
      <c r="C3" s="8" t="s">
        <v>9</v>
      </c>
      <c r="D3" s="14">
        <v>1</v>
      </c>
      <c r="E3" s="14">
        <v>2</v>
      </c>
      <c r="F3" s="14">
        <v>3</v>
      </c>
      <c r="G3" s="14">
        <v>11</v>
      </c>
      <c r="H3" s="14">
        <v>12</v>
      </c>
      <c r="I3" s="14">
        <v>13</v>
      </c>
      <c r="J3" s="14">
        <v>14</v>
      </c>
      <c r="K3" s="14">
        <v>15</v>
      </c>
      <c r="L3" s="14">
        <v>16</v>
      </c>
      <c r="M3" s="14">
        <v>17</v>
      </c>
      <c r="N3" s="6">
        <v>1</v>
      </c>
      <c r="O3" s="6">
        <v>2</v>
      </c>
      <c r="P3" s="6">
        <v>11</v>
      </c>
      <c r="Q3" s="6">
        <v>12</v>
      </c>
      <c r="R3" s="6">
        <v>13</v>
      </c>
      <c r="S3" s="6">
        <v>14</v>
      </c>
      <c r="T3" s="6">
        <v>15</v>
      </c>
      <c r="U3" s="6">
        <v>16</v>
      </c>
      <c r="V3" s="6">
        <v>17</v>
      </c>
      <c r="W3" s="6">
        <v>21</v>
      </c>
    </row>
    <row r="4" spans="1:23" x14ac:dyDescent="0.3">
      <c r="A4" s="1">
        <v>42697</v>
      </c>
      <c r="B4">
        <v>26</v>
      </c>
      <c r="C4" s="2">
        <f>A4</f>
        <v>42697</v>
      </c>
    </row>
    <row r="5" spans="1:23" x14ac:dyDescent="0.3">
      <c r="A5" s="1">
        <f>A4+1</f>
        <v>42698</v>
      </c>
      <c r="B5">
        <v>37</v>
      </c>
      <c r="C5" s="2">
        <f t="shared" ref="C5:C64" si="0">A5</f>
        <v>42698</v>
      </c>
    </row>
    <row r="6" spans="1:23" x14ac:dyDescent="0.3">
      <c r="A6" s="1">
        <f t="shared" ref="A6:A63" si="1">A5+1</f>
        <v>42699</v>
      </c>
      <c r="B6">
        <v>45</v>
      </c>
      <c r="C6" s="2">
        <f t="shared" si="0"/>
        <v>42699</v>
      </c>
    </row>
    <row r="7" spans="1:23" x14ac:dyDescent="0.3">
      <c r="A7" s="1">
        <f t="shared" si="1"/>
        <v>42700</v>
      </c>
      <c r="B7">
        <v>45</v>
      </c>
      <c r="C7" s="2">
        <f t="shared" si="0"/>
        <v>42700</v>
      </c>
    </row>
    <row r="8" spans="1:23" x14ac:dyDescent="0.3">
      <c r="A8" s="1">
        <f t="shared" si="1"/>
        <v>42701</v>
      </c>
      <c r="B8">
        <v>47</v>
      </c>
      <c r="C8" s="2">
        <f t="shared" si="0"/>
        <v>42701</v>
      </c>
    </row>
    <row r="9" spans="1:23" x14ac:dyDescent="0.3">
      <c r="A9" s="1">
        <f t="shared" si="1"/>
        <v>42702</v>
      </c>
      <c r="B9">
        <v>27</v>
      </c>
      <c r="C9" s="2">
        <f t="shared" si="0"/>
        <v>42702</v>
      </c>
    </row>
    <row r="10" spans="1:23" x14ac:dyDescent="0.3">
      <c r="A10" s="1">
        <f t="shared" si="1"/>
        <v>42703</v>
      </c>
      <c r="B10">
        <v>41</v>
      </c>
      <c r="C10" s="2">
        <f t="shared" si="0"/>
        <v>42703</v>
      </c>
    </row>
    <row r="11" spans="1:23" x14ac:dyDescent="0.3">
      <c r="A11" s="1">
        <f t="shared" si="1"/>
        <v>42704</v>
      </c>
      <c r="B11">
        <v>45</v>
      </c>
      <c r="C11" s="2">
        <f t="shared" si="0"/>
        <v>42704</v>
      </c>
    </row>
    <row r="12" spans="1:23" x14ac:dyDescent="0.3">
      <c r="A12" s="1">
        <f t="shared" si="1"/>
        <v>42705</v>
      </c>
      <c r="B12">
        <v>48</v>
      </c>
      <c r="C12" s="2">
        <f t="shared" si="0"/>
        <v>42705</v>
      </c>
    </row>
    <row r="13" spans="1:23" x14ac:dyDescent="0.3">
      <c r="A13" s="1">
        <f t="shared" si="1"/>
        <v>42706</v>
      </c>
      <c r="B13">
        <v>44</v>
      </c>
      <c r="C13" s="2">
        <f t="shared" si="0"/>
        <v>42706</v>
      </c>
    </row>
    <row r="14" spans="1:23" x14ac:dyDescent="0.3">
      <c r="A14" s="1">
        <f t="shared" si="1"/>
        <v>42707</v>
      </c>
      <c r="B14">
        <v>50</v>
      </c>
      <c r="C14" s="2">
        <f t="shared" si="0"/>
        <v>42707</v>
      </c>
    </row>
    <row r="15" spans="1:23" x14ac:dyDescent="0.3">
      <c r="A15" s="1">
        <f t="shared" si="1"/>
        <v>42708</v>
      </c>
      <c r="B15">
        <v>49</v>
      </c>
      <c r="C15" s="2">
        <f t="shared" si="0"/>
        <v>42708</v>
      </c>
    </row>
    <row r="16" spans="1:23" x14ac:dyDescent="0.3">
      <c r="A16" s="1">
        <f t="shared" si="1"/>
        <v>42709</v>
      </c>
      <c r="B16">
        <v>43</v>
      </c>
      <c r="C16" s="2">
        <f t="shared" si="0"/>
        <v>42709</v>
      </c>
    </row>
    <row r="17" spans="1:3" x14ac:dyDescent="0.3">
      <c r="A17" s="1">
        <f t="shared" si="1"/>
        <v>42710</v>
      </c>
      <c r="B17">
        <v>29</v>
      </c>
      <c r="C17" s="2">
        <f t="shared" si="0"/>
        <v>42710</v>
      </c>
    </row>
    <row r="18" spans="1:3" x14ac:dyDescent="0.3">
      <c r="A18" s="1">
        <f t="shared" si="1"/>
        <v>42711</v>
      </c>
      <c r="B18">
        <v>35</v>
      </c>
      <c r="C18" s="2">
        <f t="shared" si="0"/>
        <v>42711</v>
      </c>
    </row>
    <row r="19" spans="1:3" x14ac:dyDescent="0.3">
      <c r="A19" s="1">
        <f t="shared" si="1"/>
        <v>42712</v>
      </c>
      <c r="B19">
        <v>30</v>
      </c>
      <c r="C19" s="2">
        <f t="shared" si="0"/>
        <v>42712</v>
      </c>
    </row>
    <row r="20" spans="1:3" x14ac:dyDescent="0.3">
      <c r="A20" s="1">
        <f t="shared" si="1"/>
        <v>42713</v>
      </c>
      <c r="B20">
        <v>50</v>
      </c>
      <c r="C20" s="2">
        <f t="shared" si="0"/>
        <v>42713</v>
      </c>
    </row>
    <row r="21" spans="1:3" x14ac:dyDescent="0.3">
      <c r="A21" s="1">
        <f t="shared" si="1"/>
        <v>42714</v>
      </c>
      <c r="B21">
        <v>31</v>
      </c>
      <c r="C21" s="2">
        <f t="shared" si="0"/>
        <v>42714</v>
      </c>
    </row>
    <row r="22" spans="1:3" x14ac:dyDescent="0.3">
      <c r="A22" s="1">
        <f t="shared" si="1"/>
        <v>42715</v>
      </c>
      <c r="B22">
        <v>30</v>
      </c>
      <c r="C22" s="2">
        <f t="shared" si="0"/>
        <v>42715</v>
      </c>
    </row>
    <row r="23" spans="1:3" x14ac:dyDescent="0.3">
      <c r="A23" s="1">
        <f t="shared" si="1"/>
        <v>42716</v>
      </c>
      <c r="B23">
        <v>39</v>
      </c>
      <c r="C23" s="2">
        <f t="shared" si="0"/>
        <v>42716</v>
      </c>
    </row>
    <row r="24" spans="1:3" x14ac:dyDescent="0.3">
      <c r="A24" s="1">
        <f t="shared" si="1"/>
        <v>42717</v>
      </c>
      <c r="B24">
        <v>34</v>
      </c>
      <c r="C24" s="2">
        <f t="shared" si="0"/>
        <v>42717</v>
      </c>
    </row>
    <row r="25" spans="1:3" x14ac:dyDescent="0.3">
      <c r="A25" s="1">
        <f t="shared" si="1"/>
        <v>42718</v>
      </c>
      <c r="B25">
        <v>30</v>
      </c>
      <c r="C25" s="2">
        <f t="shared" si="0"/>
        <v>42718</v>
      </c>
    </row>
    <row r="26" spans="1:3" x14ac:dyDescent="0.3">
      <c r="A26" s="1">
        <f t="shared" si="1"/>
        <v>42719</v>
      </c>
      <c r="B26">
        <v>40</v>
      </c>
      <c r="C26" s="2">
        <f t="shared" si="0"/>
        <v>42719</v>
      </c>
    </row>
    <row r="27" spans="1:3" x14ac:dyDescent="0.3">
      <c r="A27" s="1">
        <f t="shared" si="1"/>
        <v>42720</v>
      </c>
      <c r="B27">
        <v>30</v>
      </c>
      <c r="C27" s="2">
        <f t="shared" si="0"/>
        <v>42720</v>
      </c>
    </row>
    <row r="28" spans="1:3" x14ac:dyDescent="0.3">
      <c r="A28" s="1">
        <f t="shared" si="1"/>
        <v>42721</v>
      </c>
      <c r="B28">
        <v>38</v>
      </c>
      <c r="C28" s="2">
        <f t="shared" si="0"/>
        <v>42721</v>
      </c>
    </row>
    <row r="29" spans="1:3" x14ac:dyDescent="0.3">
      <c r="A29" s="1">
        <f t="shared" si="1"/>
        <v>42722</v>
      </c>
      <c r="B29">
        <v>33</v>
      </c>
      <c r="C29" s="2">
        <f t="shared" si="0"/>
        <v>42722</v>
      </c>
    </row>
    <row r="30" spans="1:3" x14ac:dyDescent="0.3">
      <c r="A30" s="1">
        <f t="shared" si="1"/>
        <v>42723</v>
      </c>
      <c r="B30">
        <v>37</v>
      </c>
      <c r="C30" s="2">
        <f t="shared" si="0"/>
        <v>42723</v>
      </c>
    </row>
    <row r="31" spans="1:3" x14ac:dyDescent="0.3">
      <c r="A31" s="1">
        <f t="shared" si="1"/>
        <v>42724</v>
      </c>
      <c r="B31">
        <v>28</v>
      </c>
      <c r="C31" s="2">
        <f t="shared" si="0"/>
        <v>42724</v>
      </c>
    </row>
    <row r="32" spans="1:3" x14ac:dyDescent="0.3">
      <c r="A32" s="1">
        <f t="shared" si="1"/>
        <v>42725</v>
      </c>
      <c r="B32">
        <v>34</v>
      </c>
      <c r="C32" s="2">
        <f t="shared" si="0"/>
        <v>42725</v>
      </c>
    </row>
    <row r="33" spans="1:3" x14ac:dyDescent="0.3">
      <c r="A33" s="1">
        <f t="shared" si="1"/>
        <v>42726</v>
      </c>
      <c r="B33">
        <v>44</v>
      </c>
      <c r="C33" s="2">
        <f t="shared" si="0"/>
        <v>42726</v>
      </c>
    </row>
    <row r="34" spans="1:3" x14ac:dyDescent="0.3">
      <c r="A34" s="1">
        <f t="shared" si="1"/>
        <v>42727</v>
      </c>
      <c r="B34">
        <v>48</v>
      </c>
      <c r="C34" s="2">
        <f t="shared" si="0"/>
        <v>42727</v>
      </c>
    </row>
    <row r="35" spans="1:3" x14ac:dyDescent="0.3">
      <c r="A35" s="1">
        <f t="shared" si="1"/>
        <v>42728</v>
      </c>
      <c r="B35">
        <v>38</v>
      </c>
      <c r="C35" s="2">
        <f t="shared" si="0"/>
        <v>42728</v>
      </c>
    </row>
    <row r="36" spans="1:3" x14ac:dyDescent="0.3">
      <c r="A36" s="1">
        <f t="shared" si="1"/>
        <v>42729</v>
      </c>
      <c r="B36">
        <v>46</v>
      </c>
      <c r="C36" s="2">
        <f t="shared" si="0"/>
        <v>42729</v>
      </c>
    </row>
    <row r="37" spans="1:3" x14ac:dyDescent="0.3">
      <c r="A37" s="1">
        <f t="shared" si="1"/>
        <v>42730</v>
      </c>
      <c r="B37">
        <v>29</v>
      </c>
      <c r="C37" s="2">
        <f t="shared" si="0"/>
        <v>42730</v>
      </c>
    </row>
    <row r="38" spans="1:3" x14ac:dyDescent="0.3">
      <c r="A38" s="1">
        <f t="shared" si="1"/>
        <v>42731</v>
      </c>
      <c r="B38">
        <v>45</v>
      </c>
      <c r="C38" s="2">
        <f t="shared" si="0"/>
        <v>42731</v>
      </c>
    </row>
    <row r="39" spans="1:3" x14ac:dyDescent="0.3">
      <c r="A39" s="1">
        <f t="shared" si="1"/>
        <v>42732</v>
      </c>
      <c r="B39">
        <v>28</v>
      </c>
      <c r="C39" s="2">
        <f t="shared" si="0"/>
        <v>42732</v>
      </c>
    </row>
    <row r="40" spans="1:3" x14ac:dyDescent="0.3">
      <c r="A40" s="1">
        <f t="shared" si="1"/>
        <v>42733</v>
      </c>
      <c r="B40">
        <v>45</v>
      </c>
      <c r="C40" s="2">
        <f t="shared" si="0"/>
        <v>42733</v>
      </c>
    </row>
    <row r="41" spans="1:3" x14ac:dyDescent="0.3">
      <c r="A41" s="1">
        <f t="shared" si="1"/>
        <v>42734</v>
      </c>
      <c r="B41">
        <v>37</v>
      </c>
      <c r="C41" s="2">
        <f t="shared" si="0"/>
        <v>42734</v>
      </c>
    </row>
    <row r="42" spans="1:3" x14ac:dyDescent="0.3">
      <c r="A42" s="1">
        <f t="shared" si="1"/>
        <v>42735</v>
      </c>
      <c r="B42">
        <v>48</v>
      </c>
      <c r="C42" s="2">
        <f t="shared" si="0"/>
        <v>42735</v>
      </c>
    </row>
    <row r="43" spans="1:3" x14ac:dyDescent="0.3">
      <c r="A43" s="1">
        <f t="shared" si="1"/>
        <v>42736</v>
      </c>
      <c r="B43">
        <v>47</v>
      </c>
      <c r="C43" s="2">
        <f t="shared" si="0"/>
        <v>42736</v>
      </c>
    </row>
    <row r="44" spans="1:3" x14ac:dyDescent="0.3">
      <c r="A44" s="1">
        <f t="shared" si="1"/>
        <v>42737</v>
      </c>
      <c r="B44">
        <v>42</v>
      </c>
      <c r="C44" s="2">
        <f t="shared" si="0"/>
        <v>42737</v>
      </c>
    </row>
    <row r="45" spans="1:3" x14ac:dyDescent="0.3">
      <c r="A45" s="1">
        <f t="shared" si="1"/>
        <v>42738</v>
      </c>
      <c r="B45">
        <v>34</v>
      </c>
      <c r="C45" s="2">
        <f t="shared" si="0"/>
        <v>42738</v>
      </c>
    </row>
    <row r="46" spans="1:3" x14ac:dyDescent="0.3">
      <c r="A46" s="1">
        <f t="shared" si="1"/>
        <v>42739</v>
      </c>
      <c r="B46">
        <v>25</v>
      </c>
      <c r="C46" s="2">
        <f t="shared" si="0"/>
        <v>42739</v>
      </c>
    </row>
    <row r="47" spans="1:3" x14ac:dyDescent="0.3">
      <c r="A47" s="1">
        <f t="shared" si="1"/>
        <v>42740</v>
      </c>
      <c r="B47">
        <v>42</v>
      </c>
      <c r="C47" s="2">
        <f t="shared" si="0"/>
        <v>42740</v>
      </c>
    </row>
    <row r="48" spans="1:3" x14ac:dyDescent="0.3">
      <c r="A48" s="1">
        <f t="shared" si="1"/>
        <v>42741</v>
      </c>
      <c r="B48">
        <v>49</v>
      </c>
      <c r="C48" s="2">
        <f t="shared" si="0"/>
        <v>42741</v>
      </c>
    </row>
    <row r="49" spans="1:4" x14ac:dyDescent="0.3">
      <c r="A49" s="1">
        <f t="shared" si="1"/>
        <v>42742</v>
      </c>
      <c r="B49">
        <v>45</v>
      </c>
      <c r="C49" s="2">
        <f t="shared" si="0"/>
        <v>42742</v>
      </c>
    </row>
    <row r="50" spans="1:4" x14ac:dyDescent="0.3">
      <c r="A50" s="1">
        <f t="shared" si="1"/>
        <v>42743</v>
      </c>
      <c r="B50">
        <v>40</v>
      </c>
      <c r="C50" s="2">
        <f t="shared" si="0"/>
        <v>42743</v>
      </c>
    </row>
    <row r="51" spans="1:4" x14ac:dyDescent="0.3">
      <c r="A51" s="1">
        <f t="shared" si="1"/>
        <v>42744</v>
      </c>
      <c r="B51">
        <v>26</v>
      </c>
      <c r="C51" s="2">
        <f t="shared" si="0"/>
        <v>42744</v>
      </c>
    </row>
    <row r="52" spans="1:4" x14ac:dyDescent="0.3">
      <c r="A52" s="1">
        <f t="shared" si="1"/>
        <v>42745</v>
      </c>
      <c r="B52">
        <v>40</v>
      </c>
      <c r="C52" s="2">
        <f t="shared" si="0"/>
        <v>42745</v>
      </c>
    </row>
    <row r="53" spans="1:4" x14ac:dyDescent="0.3">
      <c r="A53" s="1">
        <f t="shared" si="1"/>
        <v>42746</v>
      </c>
      <c r="B53">
        <v>26</v>
      </c>
      <c r="C53" s="2">
        <f t="shared" si="0"/>
        <v>42746</v>
      </c>
    </row>
    <row r="54" spans="1:4" x14ac:dyDescent="0.3">
      <c r="A54" s="1">
        <f t="shared" si="1"/>
        <v>42747</v>
      </c>
      <c r="B54">
        <v>26</v>
      </c>
      <c r="C54" s="2">
        <f t="shared" si="0"/>
        <v>42747</v>
      </c>
    </row>
    <row r="55" spans="1:4" x14ac:dyDescent="0.3">
      <c r="A55" s="1">
        <f t="shared" si="1"/>
        <v>42748</v>
      </c>
      <c r="B55">
        <v>50</v>
      </c>
      <c r="C55" s="2">
        <f t="shared" si="0"/>
        <v>42748</v>
      </c>
    </row>
    <row r="56" spans="1:4" x14ac:dyDescent="0.3">
      <c r="A56" s="1">
        <f t="shared" si="1"/>
        <v>42749</v>
      </c>
      <c r="B56">
        <v>29</v>
      </c>
      <c r="C56" s="2">
        <f t="shared" si="0"/>
        <v>42749</v>
      </c>
    </row>
    <row r="57" spans="1:4" x14ac:dyDescent="0.3">
      <c r="A57" s="1">
        <f t="shared" si="1"/>
        <v>42750</v>
      </c>
      <c r="B57">
        <v>46</v>
      </c>
      <c r="C57" s="2">
        <f t="shared" si="0"/>
        <v>42750</v>
      </c>
    </row>
    <row r="58" spans="1:4" x14ac:dyDescent="0.3">
      <c r="A58" s="1">
        <f t="shared" si="1"/>
        <v>42751</v>
      </c>
      <c r="B58">
        <v>43</v>
      </c>
      <c r="C58" s="2">
        <f t="shared" si="0"/>
        <v>42751</v>
      </c>
    </row>
    <row r="59" spans="1:4" x14ac:dyDescent="0.3">
      <c r="A59" s="1">
        <f t="shared" si="1"/>
        <v>42752</v>
      </c>
      <c r="B59">
        <v>29</v>
      </c>
      <c r="C59" s="2">
        <f t="shared" si="0"/>
        <v>42752</v>
      </c>
    </row>
    <row r="60" spans="1:4" x14ac:dyDescent="0.3">
      <c r="A60" s="1">
        <f t="shared" si="1"/>
        <v>42753</v>
      </c>
      <c r="B60">
        <v>43</v>
      </c>
      <c r="C60" s="2">
        <f t="shared" si="0"/>
        <v>42753</v>
      </c>
    </row>
    <row r="61" spans="1:4" x14ac:dyDescent="0.3">
      <c r="A61" s="1">
        <f t="shared" si="1"/>
        <v>42754</v>
      </c>
      <c r="B61">
        <v>46</v>
      </c>
      <c r="C61" s="2">
        <f t="shared" si="0"/>
        <v>42754</v>
      </c>
    </row>
    <row r="62" spans="1:4" x14ac:dyDescent="0.3">
      <c r="A62" s="1">
        <f t="shared" si="1"/>
        <v>42755</v>
      </c>
      <c r="B62">
        <v>45</v>
      </c>
      <c r="C62" s="2">
        <f t="shared" si="0"/>
        <v>42755</v>
      </c>
    </row>
    <row r="63" spans="1:4" x14ac:dyDescent="0.3">
      <c r="A63" s="1">
        <f t="shared" si="1"/>
        <v>42756</v>
      </c>
      <c r="B63">
        <v>46</v>
      </c>
      <c r="C63" s="2">
        <f t="shared" si="0"/>
        <v>42756</v>
      </c>
      <c r="D63" s="1"/>
    </row>
    <row r="64" spans="1:4" x14ac:dyDescent="0.3">
      <c r="A64" s="1"/>
      <c r="C64" s="2">
        <f t="shared" si="0"/>
        <v>0</v>
      </c>
    </row>
  </sheetData>
  <mergeCells count="2">
    <mergeCell ref="D1:M1"/>
    <mergeCell ref="N1:W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showGridLines="0" workbookViewId="0">
      <selection activeCell="A8" sqref="A8"/>
    </sheetView>
  </sheetViews>
  <sheetFormatPr defaultColWidth="11.5546875" defaultRowHeight="14.4" x14ac:dyDescent="0.3"/>
  <cols>
    <col min="1" max="1" width="6.33203125" customWidth="1"/>
    <col min="2" max="2" width="14.109375" bestFit="1" customWidth="1"/>
    <col min="3" max="3" width="14.109375" customWidth="1"/>
    <col min="4" max="5" width="18.33203125" customWidth="1"/>
    <col min="6" max="7" width="15.44140625" customWidth="1"/>
    <col min="8" max="8" width="18.33203125" customWidth="1"/>
    <col min="9" max="9" width="15.109375" customWidth="1"/>
    <col min="10" max="10" width="11.6640625" bestFit="1" customWidth="1"/>
    <col min="11" max="11" width="11.88671875" bestFit="1" customWidth="1"/>
    <col min="12" max="12" width="11.6640625" bestFit="1" customWidth="1"/>
    <col min="13" max="17" width="11.88671875" bestFit="1" customWidth="1"/>
    <col min="18" max="18" width="11.6640625" bestFit="1" customWidth="1"/>
    <col min="19" max="20" width="11.88671875" bestFit="1" customWidth="1"/>
    <col min="21" max="21" width="11.6640625" bestFit="1" customWidth="1"/>
    <col min="22" max="24" width="11.88671875" bestFit="1" customWidth="1"/>
  </cols>
  <sheetData>
    <row r="1" spans="1:24" s="25" customFormat="1" ht="34.200000000000003" customHeight="1" x14ac:dyDescent="0.3">
      <c r="A1" s="25" t="s">
        <v>49</v>
      </c>
      <c r="B1" s="25" t="s">
        <v>25</v>
      </c>
      <c r="C1" s="25" t="s">
        <v>76</v>
      </c>
      <c r="D1" s="25" t="s">
        <v>99</v>
      </c>
      <c r="E1" s="25" t="s">
        <v>89</v>
      </c>
      <c r="F1" s="25" t="s">
        <v>92</v>
      </c>
      <c r="G1" s="25" t="s">
        <v>101</v>
      </c>
      <c r="H1" s="25" t="s">
        <v>98</v>
      </c>
      <c r="I1" s="25" t="s">
        <v>84</v>
      </c>
      <c r="J1" s="32" t="s">
        <v>26</v>
      </c>
      <c r="K1" s="32" t="s">
        <v>27</v>
      </c>
      <c r="L1" s="32" t="s">
        <v>28</v>
      </c>
      <c r="M1" s="32" t="s">
        <v>29</v>
      </c>
      <c r="N1" s="32" t="s">
        <v>30</v>
      </c>
      <c r="O1" s="32" t="s">
        <v>31</v>
      </c>
      <c r="P1" s="32" t="s">
        <v>32</v>
      </c>
      <c r="Q1" s="32" t="s">
        <v>33</v>
      </c>
      <c r="R1" s="32" t="s">
        <v>34</v>
      </c>
      <c r="S1" s="32" t="s">
        <v>35</v>
      </c>
      <c r="T1" s="32" t="s">
        <v>36</v>
      </c>
      <c r="U1" s="32" t="s">
        <v>37</v>
      </c>
      <c r="V1" s="32" t="s">
        <v>38</v>
      </c>
      <c r="W1" s="32" t="s">
        <v>39</v>
      </c>
      <c r="X1" s="32" t="s">
        <v>40</v>
      </c>
    </row>
    <row r="2" spans="1:24" x14ac:dyDescent="0.3">
      <c r="A2">
        <v>1</v>
      </c>
      <c r="B2" t="s">
        <v>41</v>
      </c>
      <c r="C2" s="30">
        <v>42016</v>
      </c>
      <c r="D2" s="30"/>
      <c r="E2" s="30"/>
      <c r="F2" s="29"/>
      <c r="G2" s="29"/>
      <c r="H2" s="30"/>
      <c r="I2" s="30"/>
      <c r="J2" s="30">
        <v>42025</v>
      </c>
      <c r="K2" s="30">
        <v>42290</v>
      </c>
      <c r="L2" s="30">
        <v>42355</v>
      </c>
      <c r="M2" s="30">
        <v>42287</v>
      </c>
      <c r="N2" s="30">
        <v>42170</v>
      </c>
      <c r="O2" s="30">
        <v>42087</v>
      </c>
      <c r="P2" s="30">
        <v>42287</v>
      </c>
      <c r="Q2" s="30">
        <v>42342</v>
      </c>
      <c r="R2" s="30">
        <v>42281</v>
      </c>
      <c r="S2" s="30">
        <v>42240</v>
      </c>
      <c r="T2" s="30">
        <v>42313</v>
      </c>
      <c r="U2" s="30">
        <v>42221</v>
      </c>
      <c r="V2" s="30">
        <v>42051</v>
      </c>
      <c r="W2" s="30">
        <v>42016</v>
      </c>
      <c r="X2" s="30">
        <v>42078</v>
      </c>
    </row>
    <row r="3" spans="1:24" x14ac:dyDescent="0.3">
      <c r="A3">
        <v>2</v>
      </c>
      <c r="B3" t="s">
        <v>42</v>
      </c>
      <c r="C3" s="30">
        <v>42074</v>
      </c>
      <c r="D3" s="30"/>
      <c r="E3" s="30"/>
      <c r="F3" s="29"/>
      <c r="G3" s="29"/>
      <c r="H3" s="30"/>
      <c r="I3" s="30"/>
      <c r="J3" s="30">
        <v>42194</v>
      </c>
      <c r="K3" s="30">
        <v>42279</v>
      </c>
      <c r="L3" s="30">
        <v>42319</v>
      </c>
      <c r="M3" s="30">
        <v>42148</v>
      </c>
      <c r="N3" s="30">
        <v>42074</v>
      </c>
      <c r="O3" s="30">
        <v>42226</v>
      </c>
      <c r="P3" s="30">
        <v>42208</v>
      </c>
      <c r="Q3" s="30">
        <v>42236</v>
      </c>
      <c r="R3" s="30">
        <v>42310</v>
      </c>
      <c r="S3" s="30">
        <v>42082</v>
      </c>
      <c r="T3" s="30">
        <v>42298</v>
      </c>
      <c r="U3" s="30">
        <v>42090</v>
      </c>
      <c r="V3" s="30">
        <v>42235</v>
      </c>
      <c r="W3" s="30">
        <v>42128</v>
      </c>
      <c r="X3" s="30">
        <v>42084</v>
      </c>
    </row>
    <row r="4" spans="1:24" x14ac:dyDescent="0.3">
      <c r="A4">
        <v>3</v>
      </c>
      <c r="B4" t="s">
        <v>43</v>
      </c>
      <c r="C4" s="30">
        <v>42011</v>
      </c>
      <c r="D4" s="30"/>
      <c r="E4" s="30"/>
      <c r="F4" s="29"/>
      <c r="G4" s="29"/>
      <c r="H4" s="30"/>
      <c r="I4" s="30"/>
      <c r="J4" s="30">
        <v>42273</v>
      </c>
      <c r="K4" s="30">
        <v>42045</v>
      </c>
      <c r="L4" s="30">
        <v>42011</v>
      </c>
      <c r="M4" s="30">
        <v>42354</v>
      </c>
      <c r="N4" s="30">
        <v>42292</v>
      </c>
      <c r="O4" s="30">
        <v>42081</v>
      </c>
      <c r="P4" s="30">
        <v>42195</v>
      </c>
      <c r="Q4" s="30">
        <v>42017</v>
      </c>
      <c r="R4" s="30">
        <v>42124</v>
      </c>
      <c r="S4" s="30">
        <v>42071</v>
      </c>
      <c r="T4" s="30">
        <v>42151</v>
      </c>
      <c r="U4" s="30">
        <v>42021</v>
      </c>
      <c r="V4" s="30">
        <v>42298</v>
      </c>
      <c r="W4" s="30">
        <v>42362</v>
      </c>
      <c r="X4" s="30">
        <v>42177</v>
      </c>
    </row>
    <row r="5" spans="1:24" x14ac:dyDescent="0.3">
      <c r="A5">
        <v>4</v>
      </c>
      <c r="B5" t="s">
        <v>44</v>
      </c>
      <c r="C5" s="30">
        <v>42022</v>
      </c>
      <c r="D5" s="30"/>
      <c r="E5" s="30"/>
      <c r="F5" s="29"/>
      <c r="G5" s="29"/>
      <c r="H5" s="30"/>
      <c r="I5" s="30"/>
      <c r="J5" s="30">
        <v>42062</v>
      </c>
      <c r="K5" s="30">
        <v>42291</v>
      </c>
      <c r="L5" s="30">
        <v>42048</v>
      </c>
      <c r="M5" s="30">
        <v>42164</v>
      </c>
      <c r="N5" s="30">
        <v>42087</v>
      </c>
      <c r="O5" s="30">
        <v>42043</v>
      </c>
      <c r="P5" s="30">
        <v>42177</v>
      </c>
      <c r="Q5" s="30">
        <v>42183</v>
      </c>
      <c r="R5" s="30">
        <v>42094</v>
      </c>
      <c r="S5" s="30">
        <v>42277</v>
      </c>
      <c r="T5" s="30">
        <v>42202</v>
      </c>
      <c r="U5" s="30">
        <v>42223</v>
      </c>
      <c r="V5" s="30">
        <v>42058</v>
      </c>
      <c r="W5" s="30">
        <v>42022</v>
      </c>
      <c r="X5" s="30">
        <v>42281</v>
      </c>
    </row>
    <row r="6" spans="1:24" x14ac:dyDescent="0.3">
      <c r="A6">
        <v>5</v>
      </c>
      <c r="B6" t="s">
        <v>45</v>
      </c>
      <c r="C6" s="30">
        <v>42021</v>
      </c>
      <c r="D6" s="30"/>
      <c r="E6" s="30"/>
      <c r="F6" s="29"/>
      <c r="G6" s="29"/>
      <c r="H6" s="30"/>
      <c r="I6" s="30"/>
      <c r="J6" s="30">
        <v>42173</v>
      </c>
      <c r="K6" s="30">
        <v>42307</v>
      </c>
      <c r="L6" s="30">
        <v>42036</v>
      </c>
      <c r="M6" s="30">
        <v>42168</v>
      </c>
      <c r="N6" s="30">
        <v>42137</v>
      </c>
      <c r="O6" s="30">
        <v>42045</v>
      </c>
      <c r="P6" s="30">
        <v>42243</v>
      </c>
      <c r="Q6" s="30">
        <v>42213</v>
      </c>
      <c r="R6" s="30">
        <v>42263</v>
      </c>
      <c r="S6" s="30">
        <v>42122</v>
      </c>
      <c r="T6" s="30">
        <v>42065</v>
      </c>
      <c r="U6" s="30">
        <v>42189</v>
      </c>
      <c r="V6" s="30">
        <v>42021</v>
      </c>
      <c r="W6" s="30">
        <v>42240</v>
      </c>
      <c r="X6" s="30">
        <v>42222</v>
      </c>
    </row>
    <row r="7" spans="1:24" x14ac:dyDescent="0.3">
      <c r="A7">
        <v>6</v>
      </c>
      <c r="B7" t="s">
        <v>46</v>
      </c>
      <c r="C7" s="30">
        <v>42025</v>
      </c>
      <c r="D7" s="30"/>
      <c r="E7" s="30"/>
      <c r="F7" s="29"/>
      <c r="G7" s="29"/>
      <c r="H7" s="30"/>
      <c r="I7" s="30"/>
      <c r="J7" s="30">
        <v>42025</v>
      </c>
      <c r="K7" s="30">
        <v>42317</v>
      </c>
      <c r="L7" s="30">
        <v>42048</v>
      </c>
      <c r="M7" s="30">
        <v>42203</v>
      </c>
      <c r="N7" s="30">
        <v>42221</v>
      </c>
      <c r="O7" s="30">
        <v>42145</v>
      </c>
      <c r="P7" s="30">
        <v>42206</v>
      </c>
      <c r="Q7" s="30">
        <v>42173</v>
      </c>
      <c r="R7" s="30">
        <v>42301</v>
      </c>
      <c r="S7" s="30">
        <v>42325</v>
      </c>
      <c r="T7" s="30">
        <v>42349</v>
      </c>
      <c r="U7" s="30">
        <v>42175</v>
      </c>
      <c r="V7" s="30">
        <v>42177</v>
      </c>
      <c r="W7" s="30">
        <v>42114</v>
      </c>
      <c r="X7" s="30">
        <v>42210</v>
      </c>
    </row>
    <row r="8" spans="1:24" x14ac:dyDescent="0.3">
      <c r="A8">
        <v>7</v>
      </c>
      <c r="B8" t="s">
        <v>47</v>
      </c>
      <c r="C8" s="30">
        <v>42005</v>
      </c>
      <c r="D8" s="30"/>
      <c r="E8" s="30"/>
      <c r="F8" s="29"/>
      <c r="G8" s="29"/>
      <c r="H8" s="30"/>
      <c r="I8" s="30"/>
      <c r="J8" s="30">
        <v>42343</v>
      </c>
      <c r="K8" s="30">
        <v>42122</v>
      </c>
      <c r="L8" s="30">
        <v>42305</v>
      </c>
      <c r="M8" s="30">
        <v>42341</v>
      </c>
      <c r="N8" s="30">
        <v>42363</v>
      </c>
      <c r="O8" s="30">
        <v>42259</v>
      </c>
      <c r="P8" s="30">
        <v>42353</v>
      </c>
      <c r="Q8" s="30">
        <v>42307</v>
      </c>
      <c r="R8" s="30">
        <v>42339</v>
      </c>
      <c r="S8" s="30">
        <v>42075</v>
      </c>
      <c r="T8" s="30">
        <v>42005</v>
      </c>
      <c r="U8" s="30">
        <v>42306</v>
      </c>
      <c r="V8" s="30">
        <v>42064</v>
      </c>
      <c r="W8" s="30">
        <v>42155</v>
      </c>
      <c r="X8" s="30">
        <v>42215</v>
      </c>
    </row>
    <row r="9" spans="1:24" x14ac:dyDescent="0.3">
      <c r="A9">
        <v>8</v>
      </c>
      <c r="B9" t="s">
        <v>48</v>
      </c>
      <c r="C9" s="30">
        <v>42101</v>
      </c>
      <c r="D9" s="30"/>
      <c r="E9" s="30"/>
      <c r="F9" s="29"/>
      <c r="G9" s="29"/>
      <c r="H9" s="30"/>
      <c r="I9" s="30"/>
      <c r="J9" s="30">
        <v>42210</v>
      </c>
      <c r="K9" s="30">
        <v>42248</v>
      </c>
      <c r="L9" s="30">
        <v>42101</v>
      </c>
      <c r="M9" s="30">
        <v>42170</v>
      </c>
      <c r="N9" s="30">
        <v>42280</v>
      </c>
      <c r="O9" s="30">
        <v>42339</v>
      </c>
      <c r="P9" s="30">
        <v>42304</v>
      </c>
      <c r="Q9" s="30">
        <v>42265</v>
      </c>
      <c r="R9" s="30">
        <v>42232</v>
      </c>
      <c r="S9" s="30">
        <v>42232</v>
      </c>
      <c r="T9" s="30">
        <v>42334</v>
      </c>
      <c r="U9" s="30">
        <v>42351</v>
      </c>
      <c r="V9" s="30">
        <v>42171</v>
      </c>
      <c r="W9" s="30">
        <v>42109</v>
      </c>
      <c r="X9" s="30">
        <v>42314</v>
      </c>
    </row>
    <row r="10" spans="1:24" x14ac:dyDescent="0.3">
      <c r="A10">
        <v>9</v>
      </c>
      <c r="B10" t="s">
        <v>50</v>
      </c>
      <c r="C10" s="30">
        <v>42011</v>
      </c>
      <c r="D10" s="30"/>
      <c r="E10" s="30"/>
      <c r="F10" s="29"/>
      <c r="G10" s="29"/>
      <c r="H10" s="30"/>
      <c r="I10" s="30"/>
      <c r="J10" s="30">
        <v>42296</v>
      </c>
      <c r="K10" s="30">
        <v>42137</v>
      </c>
      <c r="L10" s="30">
        <v>42344</v>
      </c>
      <c r="M10" s="30">
        <v>42294</v>
      </c>
      <c r="N10" s="30">
        <v>42058</v>
      </c>
      <c r="O10" s="30">
        <v>42098</v>
      </c>
      <c r="P10" s="30">
        <v>42139</v>
      </c>
      <c r="Q10" s="30">
        <v>42039</v>
      </c>
      <c r="R10" s="30">
        <v>42173</v>
      </c>
      <c r="S10" s="30">
        <v>42149</v>
      </c>
      <c r="T10" s="30">
        <v>42093</v>
      </c>
      <c r="U10" s="30">
        <v>42011</v>
      </c>
      <c r="V10" s="30">
        <v>42330</v>
      </c>
      <c r="W10" s="30">
        <v>42142</v>
      </c>
      <c r="X10" s="30">
        <v>42224</v>
      </c>
    </row>
    <row r="11" spans="1:24" x14ac:dyDescent="0.3">
      <c r="A11">
        <v>10</v>
      </c>
      <c r="B11" t="s">
        <v>51</v>
      </c>
      <c r="C11" s="30">
        <v>42016</v>
      </c>
      <c r="D11" s="30"/>
      <c r="E11" s="30"/>
      <c r="F11" s="29"/>
      <c r="G11" s="29"/>
      <c r="H11" s="30"/>
      <c r="I11" s="30"/>
      <c r="J11" s="30">
        <v>42295</v>
      </c>
      <c r="K11" s="30">
        <v>42016</v>
      </c>
      <c r="L11" s="30">
        <v>42171</v>
      </c>
      <c r="M11" s="30">
        <v>42242</v>
      </c>
      <c r="N11" s="30">
        <v>42357</v>
      </c>
      <c r="O11" s="30">
        <v>42018</v>
      </c>
      <c r="P11" s="30">
        <v>42334</v>
      </c>
      <c r="Q11" s="30">
        <v>42229</v>
      </c>
      <c r="R11" s="30">
        <v>42191</v>
      </c>
      <c r="S11" s="30">
        <v>42051</v>
      </c>
      <c r="T11" s="30">
        <v>42361</v>
      </c>
      <c r="U11" s="30">
        <v>42157</v>
      </c>
      <c r="V11" s="30">
        <v>42164</v>
      </c>
      <c r="W11" s="30">
        <v>42244</v>
      </c>
      <c r="X11" s="30">
        <v>42144</v>
      </c>
    </row>
    <row r="12" spans="1:24" x14ac:dyDescent="0.3">
      <c r="A12">
        <v>11</v>
      </c>
      <c r="B12" t="s">
        <v>52</v>
      </c>
      <c r="C12" s="30">
        <v>42056</v>
      </c>
      <c r="D12" s="30"/>
      <c r="E12" s="30"/>
      <c r="F12" s="29"/>
      <c r="G12" s="29"/>
      <c r="H12" s="30"/>
      <c r="I12" s="30"/>
      <c r="J12" s="30">
        <v>42193</v>
      </c>
      <c r="K12" s="30">
        <v>42152</v>
      </c>
      <c r="L12" s="30">
        <v>42238</v>
      </c>
      <c r="M12" s="30">
        <v>42249</v>
      </c>
      <c r="N12" s="30">
        <v>42319</v>
      </c>
      <c r="O12" s="30">
        <v>42299</v>
      </c>
      <c r="P12" s="30">
        <v>42133</v>
      </c>
      <c r="Q12" s="30">
        <v>42250</v>
      </c>
      <c r="R12" s="30">
        <v>42285</v>
      </c>
      <c r="S12" s="30">
        <v>42349</v>
      </c>
      <c r="T12" s="30">
        <v>42289</v>
      </c>
      <c r="U12" s="30">
        <v>42056</v>
      </c>
      <c r="V12" s="30">
        <v>42146</v>
      </c>
      <c r="W12" s="30">
        <v>42264</v>
      </c>
      <c r="X12" s="30">
        <v>42197</v>
      </c>
    </row>
    <row r="13" spans="1:24" x14ac:dyDescent="0.3">
      <c r="A13">
        <v>12</v>
      </c>
      <c r="B13" t="s">
        <v>53</v>
      </c>
      <c r="C13" s="30">
        <v>42048</v>
      </c>
      <c r="D13" s="30"/>
      <c r="E13" s="30"/>
      <c r="F13" s="29"/>
      <c r="G13" s="29"/>
      <c r="H13" s="30"/>
      <c r="I13" s="30"/>
      <c r="J13" s="30">
        <v>42181</v>
      </c>
      <c r="K13" s="30">
        <v>42105</v>
      </c>
      <c r="L13" s="30">
        <v>42048</v>
      </c>
      <c r="M13" s="30">
        <v>42172</v>
      </c>
      <c r="N13" s="30">
        <v>42079</v>
      </c>
      <c r="O13" s="30">
        <v>42243</v>
      </c>
      <c r="P13" s="30">
        <v>42224</v>
      </c>
      <c r="Q13" s="30">
        <v>42081</v>
      </c>
      <c r="R13" s="30">
        <v>42344</v>
      </c>
      <c r="S13" s="30">
        <v>42363</v>
      </c>
      <c r="T13" s="30">
        <v>42221</v>
      </c>
      <c r="U13" s="30">
        <v>42254</v>
      </c>
      <c r="V13" s="30">
        <v>42102</v>
      </c>
      <c r="W13" s="30">
        <v>42351</v>
      </c>
      <c r="X13" s="30">
        <v>42226</v>
      </c>
    </row>
    <row r="14" spans="1:24" x14ac:dyDescent="0.3">
      <c r="A14">
        <v>13</v>
      </c>
      <c r="B14" t="s">
        <v>54</v>
      </c>
      <c r="C14" s="30">
        <v>42026</v>
      </c>
      <c r="D14" s="30"/>
      <c r="E14" s="30"/>
      <c r="F14" s="29"/>
      <c r="G14" s="29"/>
      <c r="H14" s="30"/>
      <c r="I14" s="30"/>
      <c r="J14" s="30">
        <v>42065</v>
      </c>
      <c r="K14" s="30">
        <v>42233</v>
      </c>
      <c r="L14" s="30">
        <v>42291</v>
      </c>
      <c r="M14" s="30">
        <v>42233</v>
      </c>
      <c r="N14" s="30">
        <v>42142</v>
      </c>
      <c r="O14" s="30">
        <v>42227</v>
      </c>
      <c r="P14" s="30">
        <v>42233</v>
      </c>
      <c r="Q14" s="30">
        <v>42146</v>
      </c>
      <c r="R14" s="30">
        <v>42354</v>
      </c>
      <c r="S14" s="30">
        <v>42285</v>
      </c>
      <c r="T14" s="30">
        <v>42146</v>
      </c>
      <c r="U14" s="30">
        <v>42026</v>
      </c>
      <c r="V14" s="30">
        <v>42067</v>
      </c>
      <c r="W14" s="30">
        <v>42334</v>
      </c>
      <c r="X14" s="30">
        <v>42303</v>
      </c>
    </row>
    <row r="15" spans="1:24" x14ac:dyDescent="0.3">
      <c r="A15">
        <v>14</v>
      </c>
      <c r="B15" t="s">
        <v>55</v>
      </c>
      <c r="C15" s="30">
        <v>42022</v>
      </c>
      <c r="D15" s="30"/>
      <c r="E15" s="30"/>
      <c r="F15" s="29"/>
      <c r="G15" s="29"/>
      <c r="H15" s="30"/>
      <c r="I15" s="30"/>
      <c r="J15" s="30">
        <v>42255</v>
      </c>
      <c r="K15" s="30">
        <v>42251</v>
      </c>
      <c r="L15" s="30">
        <v>42312</v>
      </c>
      <c r="M15" s="30">
        <v>42329</v>
      </c>
      <c r="N15" s="30">
        <v>42083</v>
      </c>
      <c r="O15" s="30">
        <v>42129</v>
      </c>
      <c r="P15" s="30">
        <v>42060</v>
      </c>
      <c r="Q15" s="30">
        <v>42209</v>
      </c>
      <c r="R15" s="30">
        <v>42113</v>
      </c>
      <c r="S15" s="30">
        <v>42022</v>
      </c>
      <c r="T15" s="30">
        <v>42081</v>
      </c>
      <c r="U15" s="30">
        <v>42189</v>
      </c>
      <c r="V15" s="30">
        <v>42061</v>
      </c>
      <c r="W15" s="30">
        <v>42339</v>
      </c>
      <c r="X15" s="30">
        <v>42053</v>
      </c>
    </row>
    <row r="16" spans="1:24" x14ac:dyDescent="0.3">
      <c r="A16">
        <v>15</v>
      </c>
      <c r="B16" t="s">
        <v>56</v>
      </c>
      <c r="C16" s="30">
        <v>42008</v>
      </c>
      <c r="D16" s="30"/>
      <c r="E16" s="30"/>
      <c r="F16" s="29"/>
      <c r="G16" s="29"/>
      <c r="H16" s="30"/>
      <c r="I16" s="30"/>
      <c r="J16" s="30">
        <v>42364</v>
      </c>
      <c r="K16" s="30">
        <v>42330</v>
      </c>
      <c r="L16" s="30">
        <v>42242</v>
      </c>
      <c r="M16" s="30">
        <v>42015</v>
      </c>
      <c r="N16" s="30">
        <v>42133</v>
      </c>
      <c r="O16" s="30">
        <v>42298</v>
      </c>
      <c r="P16" s="30">
        <v>42242</v>
      </c>
      <c r="Q16" s="30">
        <v>42304</v>
      </c>
      <c r="R16" s="30">
        <v>42366</v>
      </c>
      <c r="S16" s="30">
        <v>42255</v>
      </c>
      <c r="T16" s="30">
        <v>42130</v>
      </c>
      <c r="U16" s="30">
        <v>42008</v>
      </c>
      <c r="V16" s="30">
        <v>42309</v>
      </c>
      <c r="W16" s="30">
        <v>42361</v>
      </c>
      <c r="X16" s="30">
        <v>42280</v>
      </c>
    </row>
    <row r="17" spans="1:24" x14ac:dyDescent="0.3">
      <c r="A17">
        <v>16</v>
      </c>
      <c r="B17" t="s">
        <v>57</v>
      </c>
      <c r="C17" s="30">
        <v>42016</v>
      </c>
      <c r="D17" s="30"/>
      <c r="E17" s="30"/>
      <c r="F17" s="29"/>
      <c r="G17" s="29"/>
      <c r="H17" s="30"/>
      <c r="I17" s="30"/>
      <c r="J17" s="30">
        <v>42263</v>
      </c>
      <c r="K17" s="30">
        <v>42077</v>
      </c>
      <c r="L17" s="30">
        <v>42105</v>
      </c>
      <c r="M17" s="30">
        <v>42141</v>
      </c>
      <c r="N17" s="30">
        <v>42203</v>
      </c>
      <c r="O17" s="30">
        <v>42248</v>
      </c>
      <c r="P17" s="30">
        <v>42166</v>
      </c>
      <c r="Q17" s="30">
        <v>42083</v>
      </c>
      <c r="R17" s="30">
        <v>42156</v>
      </c>
      <c r="S17" s="30">
        <v>42095</v>
      </c>
      <c r="T17" s="30">
        <v>42016</v>
      </c>
      <c r="U17" s="30">
        <v>42039</v>
      </c>
      <c r="V17" s="30">
        <v>42296</v>
      </c>
      <c r="W17" s="30">
        <v>42136</v>
      </c>
      <c r="X17" s="30">
        <v>42077</v>
      </c>
    </row>
    <row r="18" spans="1:24" x14ac:dyDescent="0.3">
      <c r="A18">
        <v>17</v>
      </c>
      <c r="B18" t="s">
        <v>58</v>
      </c>
      <c r="C18" s="30">
        <v>42040</v>
      </c>
      <c r="D18" s="30"/>
      <c r="E18" s="30"/>
      <c r="F18" s="29"/>
      <c r="G18" s="29"/>
      <c r="H18" s="30"/>
      <c r="I18" s="30"/>
      <c r="J18" s="30">
        <v>42102</v>
      </c>
      <c r="K18" s="30">
        <v>42347</v>
      </c>
      <c r="L18" s="30">
        <v>42055</v>
      </c>
      <c r="M18" s="30">
        <v>42312</v>
      </c>
      <c r="N18" s="30">
        <v>42348</v>
      </c>
      <c r="O18" s="30">
        <v>42239</v>
      </c>
      <c r="P18" s="30">
        <v>42072</v>
      </c>
      <c r="Q18" s="30">
        <v>42092</v>
      </c>
      <c r="R18" s="30">
        <v>42191</v>
      </c>
      <c r="S18" s="30">
        <v>42233</v>
      </c>
      <c r="T18" s="30">
        <v>42040</v>
      </c>
      <c r="U18" s="30">
        <v>42053</v>
      </c>
      <c r="V18" s="30">
        <v>42106</v>
      </c>
      <c r="W18" s="30">
        <v>42319</v>
      </c>
      <c r="X18" s="30">
        <v>42341</v>
      </c>
    </row>
    <row r="19" spans="1:24" x14ac:dyDescent="0.3">
      <c r="A19">
        <v>18</v>
      </c>
      <c r="B19" t="s">
        <v>59</v>
      </c>
      <c r="C19" s="30">
        <v>42012</v>
      </c>
      <c r="D19" s="30"/>
      <c r="E19" s="30"/>
      <c r="F19" s="29"/>
      <c r="G19" s="29"/>
      <c r="H19" s="30"/>
      <c r="I19" s="30"/>
      <c r="J19" s="30">
        <v>42334</v>
      </c>
      <c r="K19" s="30">
        <v>42346</v>
      </c>
      <c r="L19" s="30">
        <v>42014</v>
      </c>
      <c r="M19" s="30">
        <v>42293</v>
      </c>
      <c r="N19" s="30">
        <v>42065</v>
      </c>
      <c r="O19" s="30">
        <v>42120</v>
      </c>
      <c r="P19" s="30">
        <v>42334</v>
      </c>
      <c r="Q19" s="30">
        <v>42146</v>
      </c>
      <c r="R19" s="30">
        <v>42068</v>
      </c>
      <c r="S19" s="30">
        <v>42161</v>
      </c>
      <c r="T19" s="30">
        <v>42123</v>
      </c>
      <c r="U19" s="30">
        <v>42159</v>
      </c>
      <c r="V19" s="30">
        <v>42364</v>
      </c>
      <c r="W19" s="30">
        <v>42369</v>
      </c>
      <c r="X19" s="30">
        <v>42012</v>
      </c>
    </row>
    <row r="20" spans="1:24" x14ac:dyDescent="0.3">
      <c r="A20">
        <v>19</v>
      </c>
      <c r="B20" t="s">
        <v>60</v>
      </c>
      <c r="C20" s="30">
        <v>42009</v>
      </c>
      <c r="D20" s="30"/>
      <c r="E20" s="30"/>
      <c r="F20" s="29"/>
      <c r="G20" s="29"/>
      <c r="H20" s="30"/>
      <c r="I20" s="30"/>
      <c r="J20" s="30">
        <v>42248</v>
      </c>
      <c r="K20" s="30">
        <v>42034</v>
      </c>
      <c r="L20" s="30">
        <v>42106</v>
      </c>
      <c r="M20" s="30">
        <v>42108</v>
      </c>
      <c r="N20" s="30">
        <v>42174</v>
      </c>
      <c r="O20" s="30">
        <v>42085</v>
      </c>
      <c r="P20" s="30">
        <v>42009</v>
      </c>
      <c r="Q20" s="30">
        <v>42034</v>
      </c>
      <c r="R20" s="30">
        <v>42034</v>
      </c>
      <c r="S20" s="30">
        <v>42282</v>
      </c>
      <c r="T20" s="30">
        <v>42161</v>
      </c>
      <c r="U20" s="30">
        <v>42282</v>
      </c>
      <c r="V20" s="30">
        <v>42285</v>
      </c>
      <c r="W20" s="30">
        <v>42082</v>
      </c>
      <c r="X20" s="30">
        <v>42062</v>
      </c>
    </row>
    <row r="21" spans="1:24" x14ac:dyDescent="0.3">
      <c r="A21">
        <v>20</v>
      </c>
      <c r="B21" t="s">
        <v>61</v>
      </c>
      <c r="C21" s="30">
        <v>42073</v>
      </c>
      <c r="D21" s="30"/>
      <c r="E21" s="30"/>
      <c r="F21" s="29"/>
      <c r="G21" s="29"/>
      <c r="H21" s="30"/>
      <c r="I21" s="30"/>
      <c r="J21" s="30">
        <v>42207</v>
      </c>
      <c r="K21" s="30">
        <v>42127</v>
      </c>
      <c r="L21" s="30">
        <v>42280</v>
      </c>
      <c r="M21" s="30">
        <v>42299</v>
      </c>
      <c r="N21" s="30">
        <v>42361</v>
      </c>
      <c r="O21" s="30">
        <v>42254</v>
      </c>
      <c r="P21" s="30">
        <v>42364</v>
      </c>
      <c r="Q21" s="30">
        <v>42303</v>
      </c>
      <c r="R21" s="30">
        <v>42085</v>
      </c>
      <c r="S21" s="30">
        <v>42341</v>
      </c>
      <c r="T21" s="30">
        <v>42073</v>
      </c>
      <c r="U21" s="30">
        <v>42097</v>
      </c>
      <c r="V21" s="30">
        <v>42290</v>
      </c>
      <c r="W21" s="30">
        <v>42202</v>
      </c>
      <c r="X21" s="30">
        <v>42088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"/>
  <sheetViews>
    <sheetView showGridLines="0" workbookViewId="0">
      <pane xSplit="2" ySplit="3" topLeftCell="D28" activePane="bottomRight" state="frozen"/>
      <selection pane="topRight" activeCell="C1" sqref="C1"/>
      <selection pane="bottomLeft" activeCell="A3" sqref="A3"/>
      <selection pane="bottomRight" activeCell="X47" sqref="X47"/>
    </sheetView>
  </sheetViews>
  <sheetFormatPr defaultColWidth="9.109375" defaultRowHeight="14.4" x14ac:dyDescent="0.3"/>
  <cols>
    <col min="1" max="1" width="12.88671875" customWidth="1"/>
    <col min="2" max="2" width="13.21875" customWidth="1"/>
    <col min="3" max="3" width="30.33203125" style="2" bestFit="1" customWidth="1"/>
    <col min="4" max="4" width="13.21875" customWidth="1"/>
    <col min="5" max="13" width="8.6640625" customWidth="1"/>
    <col min="14" max="23" width="6.109375" customWidth="1"/>
  </cols>
  <sheetData>
    <row r="1" spans="1:23" ht="18" x14ac:dyDescent="0.35">
      <c r="A1" s="7" t="s">
        <v>0</v>
      </c>
      <c r="B1" s="7"/>
      <c r="D1" s="19" t="s">
        <v>7</v>
      </c>
      <c r="E1" s="19"/>
      <c r="F1" s="19"/>
      <c r="G1" s="19"/>
      <c r="H1" s="19"/>
      <c r="I1" s="19"/>
      <c r="J1" s="19"/>
      <c r="K1" s="19"/>
      <c r="L1" s="19"/>
      <c r="M1" s="19"/>
      <c r="N1" s="20" t="s">
        <v>8</v>
      </c>
      <c r="O1" s="20"/>
      <c r="P1" s="20"/>
      <c r="Q1" s="20"/>
      <c r="R1" s="20"/>
      <c r="S1" s="20"/>
      <c r="T1" s="20"/>
      <c r="U1" s="20"/>
      <c r="V1" s="20"/>
      <c r="W1" s="20"/>
    </row>
    <row r="2" spans="1:23" ht="40.799999999999997" x14ac:dyDescent="0.3">
      <c r="A2" s="3"/>
      <c r="B2" s="3"/>
      <c r="C2" s="8"/>
      <c r="D2" s="12" t="s">
        <v>10</v>
      </c>
      <c r="E2" s="12" t="s">
        <v>11</v>
      </c>
      <c r="F2" s="12" t="s">
        <v>12</v>
      </c>
      <c r="G2" s="12" t="s">
        <v>11</v>
      </c>
      <c r="H2" s="12" t="s">
        <v>13</v>
      </c>
      <c r="I2" s="12" t="s">
        <v>14</v>
      </c>
      <c r="J2" s="12" t="s">
        <v>15</v>
      </c>
      <c r="K2" s="12" t="s">
        <v>16</v>
      </c>
      <c r="L2" s="12" t="s">
        <v>17</v>
      </c>
      <c r="M2" s="12" t="s">
        <v>10</v>
      </c>
      <c r="N2" s="12" t="s">
        <v>18</v>
      </c>
      <c r="O2" s="12" t="s">
        <v>19</v>
      </c>
      <c r="P2" s="12" t="s">
        <v>19</v>
      </c>
      <c r="Q2" s="12" t="s">
        <v>20</v>
      </c>
      <c r="R2" s="12" t="s">
        <v>21</v>
      </c>
      <c r="S2" s="12" t="s">
        <v>22</v>
      </c>
      <c r="T2" s="12" t="s">
        <v>23</v>
      </c>
      <c r="U2" s="12" t="s">
        <v>24</v>
      </c>
      <c r="V2" s="12" t="s">
        <v>18</v>
      </c>
      <c r="W2" s="12" t="s">
        <v>19</v>
      </c>
    </row>
    <row r="3" spans="1:23" s="18" customFormat="1" x14ac:dyDescent="0.3">
      <c r="A3" s="13" t="s">
        <v>1</v>
      </c>
      <c r="B3" s="13" t="s">
        <v>2</v>
      </c>
      <c r="C3" s="8" t="s">
        <v>9</v>
      </c>
      <c r="D3" s="16">
        <v>1</v>
      </c>
      <c r="E3" s="16">
        <v>2</v>
      </c>
      <c r="F3" s="16">
        <v>3</v>
      </c>
      <c r="G3" s="16">
        <v>11</v>
      </c>
      <c r="H3" s="16">
        <v>12</v>
      </c>
      <c r="I3" s="16">
        <v>13</v>
      </c>
      <c r="J3" s="16">
        <v>14</v>
      </c>
      <c r="K3" s="16">
        <v>15</v>
      </c>
      <c r="L3" s="16">
        <v>16</v>
      </c>
      <c r="M3" s="16">
        <v>17</v>
      </c>
      <c r="N3" s="17">
        <v>1</v>
      </c>
      <c r="O3" s="17">
        <v>2</v>
      </c>
      <c r="P3" s="17">
        <v>11</v>
      </c>
      <c r="Q3" s="17">
        <v>12</v>
      </c>
      <c r="R3" s="17">
        <v>13</v>
      </c>
      <c r="S3" s="17">
        <v>14</v>
      </c>
      <c r="T3" s="17">
        <v>15</v>
      </c>
      <c r="U3" s="17">
        <v>16</v>
      </c>
      <c r="V3" s="17">
        <v>17</v>
      </c>
      <c r="W3" s="17">
        <v>21</v>
      </c>
    </row>
    <row r="4" spans="1:23" x14ac:dyDescent="0.3">
      <c r="A4" s="1">
        <v>42697</v>
      </c>
      <c r="B4">
        <v>26</v>
      </c>
      <c r="C4" s="2">
        <f>A4</f>
        <v>42697</v>
      </c>
      <c r="D4">
        <f>WEEKDAY($C4,D$3)</f>
        <v>4</v>
      </c>
      <c r="E4">
        <f t="shared" ref="E4:M19" si="0">WEEKDAY($C4,E$3)</f>
        <v>3</v>
      </c>
      <c r="F4">
        <f t="shared" si="0"/>
        <v>2</v>
      </c>
      <c r="G4">
        <f t="shared" si="0"/>
        <v>3</v>
      </c>
      <c r="H4">
        <f t="shared" si="0"/>
        <v>2</v>
      </c>
      <c r="I4">
        <f t="shared" si="0"/>
        <v>1</v>
      </c>
      <c r="J4">
        <f t="shared" si="0"/>
        <v>7</v>
      </c>
      <c r="K4">
        <f t="shared" si="0"/>
        <v>6</v>
      </c>
      <c r="L4">
        <f t="shared" si="0"/>
        <v>5</v>
      </c>
      <c r="M4">
        <f>WEEKDAY($C4,M$3)</f>
        <v>4</v>
      </c>
      <c r="N4">
        <f>WEEKNUM($C4,N$3)</f>
        <v>48</v>
      </c>
      <c r="O4">
        <f t="shared" ref="O4:W19" si="1">WEEKNUM($C4,O$3)</f>
        <v>48</v>
      </c>
      <c r="P4">
        <f t="shared" si="1"/>
        <v>48</v>
      </c>
      <c r="Q4">
        <f t="shared" si="1"/>
        <v>48</v>
      </c>
      <c r="R4">
        <f t="shared" si="1"/>
        <v>48</v>
      </c>
      <c r="S4">
        <f t="shared" si="1"/>
        <v>47</v>
      </c>
      <c r="T4">
        <f t="shared" si="1"/>
        <v>47</v>
      </c>
      <c r="U4">
        <f t="shared" si="1"/>
        <v>48</v>
      </c>
      <c r="V4">
        <f t="shared" si="1"/>
        <v>48</v>
      </c>
      <c r="W4">
        <f>WEEKNUM($C4,W$3)</f>
        <v>47</v>
      </c>
    </row>
    <row r="5" spans="1:23" x14ac:dyDescent="0.3">
      <c r="A5" s="1">
        <f>A4+1</f>
        <v>42698</v>
      </c>
      <c r="B5">
        <v>37</v>
      </c>
      <c r="C5" s="2">
        <f t="shared" ref="C5:C64" si="2">A5</f>
        <v>42698</v>
      </c>
      <c r="D5">
        <f t="shared" ref="D5:M36" si="3">WEEKDAY($C5,D$3)</f>
        <v>5</v>
      </c>
      <c r="E5">
        <f t="shared" si="0"/>
        <v>4</v>
      </c>
      <c r="F5">
        <f t="shared" si="0"/>
        <v>3</v>
      </c>
      <c r="G5">
        <f t="shared" si="0"/>
        <v>4</v>
      </c>
      <c r="H5">
        <f t="shared" si="0"/>
        <v>3</v>
      </c>
      <c r="I5">
        <f t="shared" si="0"/>
        <v>2</v>
      </c>
      <c r="J5">
        <f t="shared" si="0"/>
        <v>1</v>
      </c>
      <c r="K5">
        <f t="shared" si="0"/>
        <v>7</v>
      </c>
      <c r="L5">
        <f t="shared" si="0"/>
        <v>6</v>
      </c>
      <c r="M5">
        <f t="shared" si="0"/>
        <v>5</v>
      </c>
      <c r="N5">
        <f t="shared" ref="N5:W36" si="4">WEEKNUM($C5,N$3)</f>
        <v>48</v>
      </c>
      <c r="O5">
        <f t="shared" si="1"/>
        <v>48</v>
      </c>
      <c r="P5">
        <f t="shared" si="1"/>
        <v>48</v>
      </c>
      <c r="Q5">
        <f t="shared" si="1"/>
        <v>48</v>
      </c>
      <c r="R5">
        <f t="shared" si="1"/>
        <v>48</v>
      </c>
      <c r="S5">
        <f t="shared" si="1"/>
        <v>48</v>
      </c>
      <c r="T5">
        <f t="shared" si="1"/>
        <v>47</v>
      </c>
      <c r="U5">
        <f t="shared" si="1"/>
        <v>48</v>
      </c>
      <c r="V5">
        <f t="shared" si="1"/>
        <v>48</v>
      </c>
      <c r="W5">
        <f t="shared" si="1"/>
        <v>47</v>
      </c>
    </row>
    <row r="6" spans="1:23" x14ac:dyDescent="0.3">
      <c r="A6" s="1">
        <f t="shared" ref="A6:A63" si="5">A5+1</f>
        <v>42699</v>
      </c>
      <c r="B6">
        <v>45</v>
      </c>
      <c r="C6" s="2">
        <f t="shared" si="2"/>
        <v>42699</v>
      </c>
      <c r="D6">
        <f t="shared" si="3"/>
        <v>6</v>
      </c>
      <c r="E6">
        <f t="shared" si="0"/>
        <v>5</v>
      </c>
      <c r="F6">
        <f t="shared" si="0"/>
        <v>4</v>
      </c>
      <c r="G6">
        <f t="shared" si="0"/>
        <v>5</v>
      </c>
      <c r="H6">
        <f t="shared" si="0"/>
        <v>4</v>
      </c>
      <c r="I6">
        <f t="shared" si="0"/>
        <v>3</v>
      </c>
      <c r="J6">
        <f t="shared" si="0"/>
        <v>2</v>
      </c>
      <c r="K6">
        <f t="shared" si="0"/>
        <v>1</v>
      </c>
      <c r="L6">
        <f t="shared" si="0"/>
        <v>7</v>
      </c>
      <c r="M6">
        <f t="shared" si="0"/>
        <v>6</v>
      </c>
      <c r="N6">
        <f t="shared" si="4"/>
        <v>48</v>
      </c>
      <c r="O6">
        <f t="shared" si="1"/>
        <v>48</v>
      </c>
      <c r="P6">
        <f t="shared" si="1"/>
        <v>48</v>
      </c>
      <c r="Q6">
        <f t="shared" si="1"/>
        <v>48</v>
      </c>
      <c r="R6">
        <f t="shared" si="1"/>
        <v>48</v>
      </c>
      <c r="S6">
        <f t="shared" si="1"/>
        <v>48</v>
      </c>
      <c r="T6">
        <f t="shared" si="1"/>
        <v>48</v>
      </c>
      <c r="U6">
        <f t="shared" si="1"/>
        <v>48</v>
      </c>
      <c r="V6">
        <f t="shared" si="1"/>
        <v>48</v>
      </c>
      <c r="W6">
        <f t="shared" si="1"/>
        <v>47</v>
      </c>
    </row>
    <row r="7" spans="1:23" x14ac:dyDescent="0.3">
      <c r="A7" s="1">
        <f t="shared" si="5"/>
        <v>42700</v>
      </c>
      <c r="B7">
        <v>45</v>
      </c>
      <c r="C7" s="2">
        <f t="shared" si="2"/>
        <v>42700</v>
      </c>
      <c r="D7">
        <f t="shared" si="3"/>
        <v>7</v>
      </c>
      <c r="E7">
        <f t="shared" si="0"/>
        <v>6</v>
      </c>
      <c r="F7">
        <f t="shared" si="0"/>
        <v>5</v>
      </c>
      <c r="G7">
        <f t="shared" si="0"/>
        <v>6</v>
      </c>
      <c r="H7">
        <f t="shared" si="0"/>
        <v>5</v>
      </c>
      <c r="I7">
        <f t="shared" si="0"/>
        <v>4</v>
      </c>
      <c r="J7">
        <f t="shared" si="0"/>
        <v>3</v>
      </c>
      <c r="K7">
        <f t="shared" si="0"/>
        <v>2</v>
      </c>
      <c r="L7">
        <f t="shared" si="0"/>
        <v>1</v>
      </c>
      <c r="M7">
        <f t="shared" si="0"/>
        <v>7</v>
      </c>
      <c r="N7">
        <f t="shared" si="4"/>
        <v>48</v>
      </c>
      <c r="O7">
        <f t="shared" si="1"/>
        <v>48</v>
      </c>
      <c r="P7">
        <f t="shared" si="1"/>
        <v>48</v>
      </c>
      <c r="Q7">
        <f t="shared" si="1"/>
        <v>48</v>
      </c>
      <c r="R7">
        <f t="shared" si="1"/>
        <v>48</v>
      </c>
      <c r="S7">
        <f t="shared" si="1"/>
        <v>48</v>
      </c>
      <c r="T7">
        <f t="shared" si="1"/>
        <v>48</v>
      </c>
      <c r="U7">
        <f t="shared" si="1"/>
        <v>49</v>
      </c>
      <c r="V7">
        <f t="shared" si="1"/>
        <v>48</v>
      </c>
      <c r="W7">
        <f t="shared" si="1"/>
        <v>47</v>
      </c>
    </row>
    <row r="8" spans="1:23" x14ac:dyDescent="0.3">
      <c r="A8" s="1">
        <f t="shared" si="5"/>
        <v>42701</v>
      </c>
      <c r="B8">
        <v>47</v>
      </c>
      <c r="C8" s="2">
        <f t="shared" si="2"/>
        <v>42701</v>
      </c>
      <c r="D8">
        <f t="shared" si="3"/>
        <v>1</v>
      </c>
      <c r="E8">
        <f t="shared" si="0"/>
        <v>7</v>
      </c>
      <c r="F8">
        <f t="shared" si="0"/>
        <v>6</v>
      </c>
      <c r="G8">
        <f t="shared" si="0"/>
        <v>7</v>
      </c>
      <c r="H8">
        <f t="shared" si="0"/>
        <v>6</v>
      </c>
      <c r="I8">
        <f t="shared" si="0"/>
        <v>5</v>
      </c>
      <c r="J8">
        <f t="shared" si="0"/>
        <v>4</v>
      </c>
      <c r="K8">
        <f t="shared" si="0"/>
        <v>3</v>
      </c>
      <c r="L8">
        <f t="shared" si="0"/>
        <v>2</v>
      </c>
      <c r="M8">
        <f t="shared" si="0"/>
        <v>1</v>
      </c>
      <c r="N8">
        <f t="shared" si="4"/>
        <v>49</v>
      </c>
      <c r="O8">
        <f t="shared" si="1"/>
        <v>48</v>
      </c>
      <c r="P8">
        <f t="shared" si="1"/>
        <v>48</v>
      </c>
      <c r="Q8">
        <f t="shared" si="1"/>
        <v>48</v>
      </c>
      <c r="R8">
        <f t="shared" si="1"/>
        <v>48</v>
      </c>
      <c r="S8">
        <f t="shared" si="1"/>
        <v>48</v>
      </c>
      <c r="T8">
        <f t="shared" si="1"/>
        <v>48</v>
      </c>
      <c r="U8">
        <f t="shared" si="1"/>
        <v>49</v>
      </c>
      <c r="V8">
        <f t="shared" si="1"/>
        <v>49</v>
      </c>
      <c r="W8">
        <f t="shared" si="1"/>
        <v>47</v>
      </c>
    </row>
    <row r="9" spans="1:23" x14ac:dyDescent="0.3">
      <c r="A9" s="1">
        <f t="shared" si="5"/>
        <v>42702</v>
      </c>
      <c r="B9">
        <v>27</v>
      </c>
      <c r="C9" s="2">
        <f t="shared" si="2"/>
        <v>42702</v>
      </c>
      <c r="D9">
        <f t="shared" si="3"/>
        <v>2</v>
      </c>
      <c r="E9">
        <f t="shared" si="0"/>
        <v>1</v>
      </c>
      <c r="F9">
        <f t="shared" si="0"/>
        <v>0</v>
      </c>
      <c r="G9">
        <f t="shared" si="0"/>
        <v>1</v>
      </c>
      <c r="H9">
        <f t="shared" si="0"/>
        <v>7</v>
      </c>
      <c r="I9">
        <f t="shared" si="0"/>
        <v>6</v>
      </c>
      <c r="J9">
        <f t="shared" si="0"/>
        <v>5</v>
      </c>
      <c r="K9">
        <f t="shared" si="0"/>
        <v>4</v>
      </c>
      <c r="L9">
        <f t="shared" si="0"/>
        <v>3</v>
      </c>
      <c r="M9">
        <f t="shared" si="0"/>
        <v>2</v>
      </c>
      <c r="N9">
        <f t="shared" si="4"/>
        <v>49</v>
      </c>
      <c r="O9">
        <f t="shared" si="1"/>
        <v>49</v>
      </c>
      <c r="P9">
        <f t="shared" si="1"/>
        <v>49</v>
      </c>
      <c r="Q9">
        <f t="shared" si="1"/>
        <v>48</v>
      </c>
      <c r="R9">
        <f t="shared" si="1"/>
        <v>48</v>
      </c>
      <c r="S9">
        <f t="shared" si="1"/>
        <v>48</v>
      </c>
      <c r="T9">
        <f t="shared" si="1"/>
        <v>48</v>
      </c>
      <c r="U9">
        <f t="shared" si="1"/>
        <v>49</v>
      </c>
      <c r="V9">
        <f t="shared" si="1"/>
        <v>49</v>
      </c>
      <c r="W9">
        <f t="shared" si="1"/>
        <v>48</v>
      </c>
    </row>
    <row r="10" spans="1:23" x14ac:dyDescent="0.3">
      <c r="A10" s="1">
        <f t="shared" si="5"/>
        <v>42703</v>
      </c>
      <c r="B10">
        <v>41</v>
      </c>
      <c r="C10" s="2">
        <f t="shared" si="2"/>
        <v>42703</v>
      </c>
      <c r="D10">
        <f t="shared" si="3"/>
        <v>3</v>
      </c>
      <c r="E10">
        <f t="shared" si="0"/>
        <v>2</v>
      </c>
      <c r="F10">
        <f t="shared" si="0"/>
        <v>1</v>
      </c>
      <c r="G10">
        <f t="shared" si="0"/>
        <v>2</v>
      </c>
      <c r="H10">
        <f t="shared" si="0"/>
        <v>1</v>
      </c>
      <c r="I10">
        <f t="shared" si="0"/>
        <v>7</v>
      </c>
      <c r="J10">
        <f t="shared" si="0"/>
        <v>6</v>
      </c>
      <c r="K10">
        <f t="shared" si="0"/>
        <v>5</v>
      </c>
      <c r="L10">
        <f t="shared" si="0"/>
        <v>4</v>
      </c>
      <c r="M10">
        <f t="shared" si="0"/>
        <v>3</v>
      </c>
      <c r="N10">
        <f t="shared" si="4"/>
        <v>49</v>
      </c>
      <c r="O10">
        <f t="shared" si="1"/>
        <v>49</v>
      </c>
      <c r="P10">
        <f t="shared" si="1"/>
        <v>49</v>
      </c>
      <c r="Q10">
        <f t="shared" si="1"/>
        <v>49</v>
      </c>
      <c r="R10">
        <f t="shared" si="1"/>
        <v>48</v>
      </c>
      <c r="S10">
        <f t="shared" si="1"/>
        <v>48</v>
      </c>
      <c r="T10">
        <f t="shared" si="1"/>
        <v>48</v>
      </c>
      <c r="U10">
        <f t="shared" si="1"/>
        <v>49</v>
      </c>
      <c r="V10">
        <f t="shared" si="1"/>
        <v>49</v>
      </c>
      <c r="W10">
        <f t="shared" si="1"/>
        <v>48</v>
      </c>
    </row>
    <row r="11" spans="1:23" x14ac:dyDescent="0.3">
      <c r="A11" s="1">
        <f t="shared" si="5"/>
        <v>42704</v>
      </c>
      <c r="B11">
        <v>45</v>
      </c>
      <c r="C11" s="2">
        <f t="shared" si="2"/>
        <v>42704</v>
      </c>
      <c r="D11">
        <f t="shared" si="3"/>
        <v>4</v>
      </c>
      <c r="E11">
        <f t="shared" si="0"/>
        <v>3</v>
      </c>
      <c r="F11">
        <f t="shared" si="0"/>
        <v>2</v>
      </c>
      <c r="G11">
        <f t="shared" si="0"/>
        <v>3</v>
      </c>
      <c r="H11">
        <f t="shared" si="0"/>
        <v>2</v>
      </c>
      <c r="I11">
        <f t="shared" si="0"/>
        <v>1</v>
      </c>
      <c r="J11">
        <f t="shared" si="0"/>
        <v>7</v>
      </c>
      <c r="K11">
        <f t="shared" si="0"/>
        <v>6</v>
      </c>
      <c r="L11">
        <f t="shared" si="0"/>
        <v>5</v>
      </c>
      <c r="M11">
        <f t="shared" si="0"/>
        <v>4</v>
      </c>
      <c r="N11">
        <f t="shared" si="4"/>
        <v>49</v>
      </c>
      <c r="O11">
        <f t="shared" si="1"/>
        <v>49</v>
      </c>
      <c r="P11">
        <f t="shared" si="1"/>
        <v>49</v>
      </c>
      <c r="Q11">
        <f t="shared" si="1"/>
        <v>49</v>
      </c>
      <c r="R11">
        <f t="shared" si="1"/>
        <v>49</v>
      </c>
      <c r="S11">
        <f t="shared" si="1"/>
        <v>48</v>
      </c>
      <c r="T11">
        <f t="shared" si="1"/>
        <v>48</v>
      </c>
      <c r="U11">
        <f t="shared" si="1"/>
        <v>49</v>
      </c>
      <c r="V11">
        <f t="shared" si="1"/>
        <v>49</v>
      </c>
      <c r="W11">
        <f t="shared" si="1"/>
        <v>48</v>
      </c>
    </row>
    <row r="12" spans="1:23" x14ac:dyDescent="0.3">
      <c r="A12" s="1">
        <f t="shared" si="5"/>
        <v>42705</v>
      </c>
      <c r="B12">
        <v>48</v>
      </c>
      <c r="C12" s="2">
        <f t="shared" si="2"/>
        <v>42705</v>
      </c>
      <c r="D12">
        <f t="shared" si="3"/>
        <v>5</v>
      </c>
      <c r="E12">
        <f t="shared" si="0"/>
        <v>4</v>
      </c>
      <c r="F12">
        <f t="shared" si="0"/>
        <v>3</v>
      </c>
      <c r="G12">
        <f t="shared" si="0"/>
        <v>4</v>
      </c>
      <c r="H12">
        <f t="shared" si="0"/>
        <v>3</v>
      </c>
      <c r="I12">
        <f t="shared" si="0"/>
        <v>2</v>
      </c>
      <c r="J12">
        <f t="shared" si="0"/>
        <v>1</v>
      </c>
      <c r="K12">
        <f t="shared" si="0"/>
        <v>7</v>
      </c>
      <c r="L12">
        <f t="shared" si="0"/>
        <v>6</v>
      </c>
      <c r="M12">
        <f t="shared" si="0"/>
        <v>5</v>
      </c>
      <c r="N12">
        <f t="shared" si="4"/>
        <v>49</v>
      </c>
      <c r="O12">
        <f t="shared" si="1"/>
        <v>49</v>
      </c>
      <c r="P12">
        <f t="shared" si="1"/>
        <v>49</v>
      </c>
      <c r="Q12">
        <f t="shared" si="1"/>
        <v>49</v>
      </c>
      <c r="R12">
        <f t="shared" si="1"/>
        <v>49</v>
      </c>
      <c r="S12">
        <f t="shared" si="1"/>
        <v>49</v>
      </c>
      <c r="T12">
        <f t="shared" si="1"/>
        <v>48</v>
      </c>
      <c r="U12">
        <f t="shared" si="1"/>
        <v>49</v>
      </c>
      <c r="V12">
        <f t="shared" si="1"/>
        <v>49</v>
      </c>
      <c r="W12">
        <f t="shared" si="1"/>
        <v>48</v>
      </c>
    </row>
    <row r="13" spans="1:23" x14ac:dyDescent="0.3">
      <c r="A13" s="1">
        <f t="shared" si="5"/>
        <v>42706</v>
      </c>
      <c r="B13">
        <v>44</v>
      </c>
      <c r="C13" s="2">
        <f t="shared" si="2"/>
        <v>42706</v>
      </c>
      <c r="D13">
        <f t="shared" si="3"/>
        <v>6</v>
      </c>
      <c r="E13">
        <f t="shared" si="0"/>
        <v>5</v>
      </c>
      <c r="F13">
        <f t="shared" si="0"/>
        <v>4</v>
      </c>
      <c r="G13">
        <f t="shared" si="0"/>
        <v>5</v>
      </c>
      <c r="H13">
        <f t="shared" si="0"/>
        <v>4</v>
      </c>
      <c r="I13">
        <f t="shared" si="0"/>
        <v>3</v>
      </c>
      <c r="J13">
        <f t="shared" si="0"/>
        <v>2</v>
      </c>
      <c r="K13">
        <f t="shared" si="0"/>
        <v>1</v>
      </c>
      <c r="L13">
        <f t="shared" si="0"/>
        <v>7</v>
      </c>
      <c r="M13">
        <f t="shared" si="0"/>
        <v>6</v>
      </c>
      <c r="N13">
        <f t="shared" si="4"/>
        <v>49</v>
      </c>
      <c r="O13">
        <f t="shared" si="1"/>
        <v>49</v>
      </c>
      <c r="P13">
        <f t="shared" si="1"/>
        <v>49</v>
      </c>
      <c r="Q13">
        <f t="shared" si="1"/>
        <v>49</v>
      </c>
      <c r="R13">
        <f t="shared" si="1"/>
        <v>49</v>
      </c>
      <c r="S13">
        <f t="shared" si="1"/>
        <v>49</v>
      </c>
      <c r="T13">
        <f t="shared" si="1"/>
        <v>49</v>
      </c>
      <c r="U13">
        <f t="shared" si="1"/>
        <v>49</v>
      </c>
      <c r="V13">
        <f t="shared" si="1"/>
        <v>49</v>
      </c>
      <c r="W13">
        <f t="shared" si="1"/>
        <v>48</v>
      </c>
    </row>
    <row r="14" spans="1:23" x14ac:dyDescent="0.3">
      <c r="A14" s="1">
        <f t="shared" si="5"/>
        <v>42707</v>
      </c>
      <c r="B14">
        <v>50</v>
      </c>
      <c r="C14" s="2">
        <f t="shared" si="2"/>
        <v>42707</v>
      </c>
      <c r="D14">
        <f t="shared" si="3"/>
        <v>7</v>
      </c>
      <c r="E14">
        <f t="shared" si="0"/>
        <v>6</v>
      </c>
      <c r="F14">
        <f t="shared" si="0"/>
        <v>5</v>
      </c>
      <c r="G14">
        <f t="shared" si="0"/>
        <v>6</v>
      </c>
      <c r="H14">
        <f t="shared" si="0"/>
        <v>5</v>
      </c>
      <c r="I14">
        <f t="shared" si="0"/>
        <v>4</v>
      </c>
      <c r="J14">
        <f t="shared" si="0"/>
        <v>3</v>
      </c>
      <c r="K14">
        <f t="shared" si="0"/>
        <v>2</v>
      </c>
      <c r="L14">
        <f t="shared" si="0"/>
        <v>1</v>
      </c>
      <c r="M14">
        <f t="shared" si="0"/>
        <v>7</v>
      </c>
      <c r="N14">
        <f t="shared" si="4"/>
        <v>49</v>
      </c>
      <c r="O14">
        <f t="shared" si="1"/>
        <v>49</v>
      </c>
      <c r="P14">
        <f t="shared" si="1"/>
        <v>49</v>
      </c>
      <c r="Q14">
        <f t="shared" si="1"/>
        <v>49</v>
      </c>
      <c r="R14">
        <f t="shared" si="1"/>
        <v>49</v>
      </c>
      <c r="S14">
        <f t="shared" si="1"/>
        <v>49</v>
      </c>
      <c r="T14">
        <f t="shared" si="1"/>
        <v>49</v>
      </c>
      <c r="U14">
        <f t="shared" si="1"/>
        <v>50</v>
      </c>
      <c r="V14">
        <f t="shared" si="1"/>
        <v>49</v>
      </c>
      <c r="W14">
        <f t="shared" si="1"/>
        <v>48</v>
      </c>
    </row>
    <row r="15" spans="1:23" x14ac:dyDescent="0.3">
      <c r="A15" s="1">
        <f t="shared" si="5"/>
        <v>42708</v>
      </c>
      <c r="B15">
        <v>49</v>
      </c>
      <c r="C15" s="2">
        <f t="shared" si="2"/>
        <v>42708</v>
      </c>
      <c r="D15">
        <f t="shared" si="3"/>
        <v>1</v>
      </c>
      <c r="E15">
        <f t="shared" si="0"/>
        <v>7</v>
      </c>
      <c r="F15">
        <f t="shared" si="0"/>
        <v>6</v>
      </c>
      <c r="G15">
        <f t="shared" si="0"/>
        <v>7</v>
      </c>
      <c r="H15">
        <f t="shared" si="0"/>
        <v>6</v>
      </c>
      <c r="I15">
        <f t="shared" si="0"/>
        <v>5</v>
      </c>
      <c r="J15">
        <f t="shared" si="0"/>
        <v>4</v>
      </c>
      <c r="K15">
        <f t="shared" si="0"/>
        <v>3</v>
      </c>
      <c r="L15">
        <f t="shared" si="0"/>
        <v>2</v>
      </c>
      <c r="M15">
        <f t="shared" si="0"/>
        <v>1</v>
      </c>
      <c r="N15">
        <f t="shared" si="4"/>
        <v>50</v>
      </c>
      <c r="O15">
        <f t="shared" si="1"/>
        <v>49</v>
      </c>
      <c r="P15">
        <f t="shared" si="1"/>
        <v>49</v>
      </c>
      <c r="Q15">
        <f t="shared" si="1"/>
        <v>49</v>
      </c>
      <c r="R15">
        <f t="shared" si="1"/>
        <v>49</v>
      </c>
      <c r="S15">
        <f t="shared" si="1"/>
        <v>49</v>
      </c>
      <c r="T15">
        <f t="shared" si="1"/>
        <v>49</v>
      </c>
      <c r="U15">
        <f t="shared" si="1"/>
        <v>50</v>
      </c>
      <c r="V15">
        <f t="shared" si="1"/>
        <v>50</v>
      </c>
      <c r="W15">
        <f t="shared" si="1"/>
        <v>48</v>
      </c>
    </row>
    <row r="16" spans="1:23" x14ac:dyDescent="0.3">
      <c r="A16" s="1">
        <f t="shared" si="5"/>
        <v>42709</v>
      </c>
      <c r="B16">
        <v>43</v>
      </c>
      <c r="C16" s="2">
        <f t="shared" si="2"/>
        <v>42709</v>
      </c>
      <c r="D16">
        <f t="shared" si="3"/>
        <v>2</v>
      </c>
      <c r="E16">
        <f t="shared" si="0"/>
        <v>1</v>
      </c>
      <c r="F16">
        <f t="shared" si="0"/>
        <v>0</v>
      </c>
      <c r="G16">
        <f t="shared" si="0"/>
        <v>1</v>
      </c>
      <c r="H16">
        <f t="shared" si="0"/>
        <v>7</v>
      </c>
      <c r="I16">
        <f t="shared" si="0"/>
        <v>6</v>
      </c>
      <c r="J16">
        <f t="shared" si="0"/>
        <v>5</v>
      </c>
      <c r="K16">
        <f t="shared" si="0"/>
        <v>4</v>
      </c>
      <c r="L16">
        <f t="shared" si="0"/>
        <v>3</v>
      </c>
      <c r="M16">
        <f t="shared" si="0"/>
        <v>2</v>
      </c>
      <c r="N16">
        <f t="shared" si="4"/>
        <v>50</v>
      </c>
      <c r="O16">
        <f t="shared" si="1"/>
        <v>50</v>
      </c>
      <c r="P16">
        <f t="shared" si="1"/>
        <v>50</v>
      </c>
      <c r="Q16">
        <f t="shared" si="1"/>
        <v>49</v>
      </c>
      <c r="R16">
        <f t="shared" si="1"/>
        <v>49</v>
      </c>
      <c r="S16">
        <f t="shared" si="1"/>
        <v>49</v>
      </c>
      <c r="T16">
        <f t="shared" si="1"/>
        <v>49</v>
      </c>
      <c r="U16">
        <f t="shared" si="1"/>
        <v>50</v>
      </c>
      <c r="V16">
        <f t="shared" si="1"/>
        <v>50</v>
      </c>
      <c r="W16">
        <f t="shared" si="1"/>
        <v>49</v>
      </c>
    </row>
    <row r="17" spans="1:23" x14ac:dyDescent="0.3">
      <c r="A17" s="1">
        <f t="shared" si="5"/>
        <v>42710</v>
      </c>
      <c r="B17">
        <v>29</v>
      </c>
      <c r="C17" s="2">
        <f t="shared" si="2"/>
        <v>42710</v>
      </c>
      <c r="D17">
        <f t="shared" si="3"/>
        <v>3</v>
      </c>
      <c r="E17">
        <f t="shared" si="0"/>
        <v>2</v>
      </c>
      <c r="F17">
        <f t="shared" si="0"/>
        <v>1</v>
      </c>
      <c r="G17">
        <f t="shared" si="0"/>
        <v>2</v>
      </c>
      <c r="H17">
        <f t="shared" si="0"/>
        <v>1</v>
      </c>
      <c r="I17">
        <f t="shared" si="0"/>
        <v>7</v>
      </c>
      <c r="J17">
        <f t="shared" si="0"/>
        <v>6</v>
      </c>
      <c r="K17">
        <f t="shared" si="0"/>
        <v>5</v>
      </c>
      <c r="L17">
        <f t="shared" si="0"/>
        <v>4</v>
      </c>
      <c r="M17">
        <f t="shared" si="0"/>
        <v>3</v>
      </c>
      <c r="N17">
        <f t="shared" si="4"/>
        <v>50</v>
      </c>
      <c r="O17">
        <f t="shared" si="1"/>
        <v>50</v>
      </c>
      <c r="P17">
        <f t="shared" si="1"/>
        <v>50</v>
      </c>
      <c r="Q17">
        <f t="shared" si="1"/>
        <v>50</v>
      </c>
      <c r="R17">
        <f t="shared" si="1"/>
        <v>49</v>
      </c>
      <c r="S17">
        <f t="shared" si="1"/>
        <v>49</v>
      </c>
      <c r="T17">
        <f t="shared" si="1"/>
        <v>49</v>
      </c>
      <c r="U17">
        <f t="shared" si="1"/>
        <v>50</v>
      </c>
      <c r="V17">
        <f t="shared" si="1"/>
        <v>50</v>
      </c>
      <c r="W17">
        <f t="shared" si="1"/>
        <v>49</v>
      </c>
    </row>
    <row r="18" spans="1:23" x14ac:dyDescent="0.3">
      <c r="A18" s="1">
        <f t="shared" si="5"/>
        <v>42711</v>
      </c>
      <c r="B18">
        <v>35</v>
      </c>
      <c r="C18" s="2">
        <f t="shared" si="2"/>
        <v>42711</v>
      </c>
      <c r="D18">
        <f t="shared" si="3"/>
        <v>4</v>
      </c>
      <c r="E18">
        <f t="shared" si="0"/>
        <v>3</v>
      </c>
      <c r="F18">
        <f t="shared" si="0"/>
        <v>2</v>
      </c>
      <c r="G18">
        <f t="shared" si="0"/>
        <v>3</v>
      </c>
      <c r="H18">
        <f t="shared" si="0"/>
        <v>2</v>
      </c>
      <c r="I18">
        <f t="shared" si="0"/>
        <v>1</v>
      </c>
      <c r="J18">
        <f t="shared" si="0"/>
        <v>7</v>
      </c>
      <c r="K18">
        <f t="shared" si="0"/>
        <v>6</v>
      </c>
      <c r="L18">
        <f t="shared" si="0"/>
        <v>5</v>
      </c>
      <c r="M18">
        <f t="shared" si="0"/>
        <v>4</v>
      </c>
      <c r="N18">
        <f t="shared" si="4"/>
        <v>50</v>
      </c>
      <c r="O18">
        <f t="shared" si="1"/>
        <v>50</v>
      </c>
      <c r="P18">
        <f t="shared" si="1"/>
        <v>50</v>
      </c>
      <c r="Q18">
        <f t="shared" si="1"/>
        <v>50</v>
      </c>
      <c r="R18">
        <f t="shared" si="1"/>
        <v>50</v>
      </c>
      <c r="S18">
        <f t="shared" si="1"/>
        <v>49</v>
      </c>
      <c r="T18">
        <f t="shared" si="1"/>
        <v>49</v>
      </c>
      <c r="U18">
        <f t="shared" si="1"/>
        <v>50</v>
      </c>
      <c r="V18">
        <f t="shared" si="1"/>
        <v>50</v>
      </c>
      <c r="W18">
        <f t="shared" si="1"/>
        <v>49</v>
      </c>
    </row>
    <row r="19" spans="1:23" x14ac:dyDescent="0.3">
      <c r="A19" s="1">
        <f t="shared" si="5"/>
        <v>42712</v>
      </c>
      <c r="B19">
        <v>30</v>
      </c>
      <c r="C19" s="2">
        <f t="shared" si="2"/>
        <v>42712</v>
      </c>
      <c r="D19">
        <f t="shared" si="3"/>
        <v>5</v>
      </c>
      <c r="E19">
        <f t="shared" si="0"/>
        <v>4</v>
      </c>
      <c r="F19">
        <f t="shared" si="0"/>
        <v>3</v>
      </c>
      <c r="G19">
        <f t="shared" si="0"/>
        <v>4</v>
      </c>
      <c r="H19">
        <f t="shared" si="0"/>
        <v>3</v>
      </c>
      <c r="I19">
        <f t="shared" si="0"/>
        <v>2</v>
      </c>
      <c r="J19">
        <f t="shared" si="0"/>
        <v>1</v>
      </c>
      <c r="K19">
        <f t="shared" si="0"/>
        <v>7</v>
      </c>
      <c r="L19">
        <f t="shared" si="0"/>
        <v>6</v>
      </c>
      <c r="M19">
        <f t="shared" si="0"/>
        <v>5</v>
      </c>
      <c r="N19">
        <f t="shared" si="4"/>
        <v>50</v>
      </c>
      <c r="O19">
        <f t="shared" si="1"/>
        <v>50</v>
      </c>
      <c r="P19">
        <f t="shared" si="1"/>
        <v>50</v>
      </c>
      <c r="Q19">
        <f t="shared" si="1"/>
        <v>50</v>
      </c>
      <c r="R19">
        <f t="shared" si="1"/>
        <v>50</v>
      </c>
      <c r="S19">
        <f t="shared" si="1"/>
        <v>50</v>
      </c>
      <c r="T19">
        <f t="shared" si="1"/>
        <v>49</v>
      </c>
      <c r="U19">
        <f t="shared" si="1"/>
        <v>50</v>
      </c>
      <c r="V19">
        <f t="shared" si="1"/>
        <v>50</v>
      </c>
      <c r="W19">
        <f t="shared" si="1"/>
        <v>49</v>
      </c>
    </row>
    <row r="20" spans="1:23" x14ac:dyDescent="0.3">
      <c r="A20" s="1">
        <f t="shared" si="5"/>
        <v>42713</v>
      </c>
      <c r="B20">
        <v>50</v>
      </c>
      <c r="C20" s="2">
        <f t="shared" si="2"/>
        <v>42713</v>
      </c>
      <c r="D20">
        <f t="shared" si="3"/>
        <v>6</v>
      </c>
      <c r="E20">
        <f t="shared" si="3"/>
        <v>5</v>
      </c>
      <c r="F20">
        <f t="shared" si="3"/>
        <v>4</v>
      </c>
      <c r="G20">
        <f t="shared" si="3"/>
        <v>5</v>
      </c>
      <c r="H20">
        <f t="shared" si="3"/>
        <v>4</v>
      </c>
      <c r="I20">
        <f t="shared" si="3"/>
        <v>3</v>
      </c>
      <c r="J20">
        <f t="shared" si="3"/>
        <v>2</v>
      </c>
      <c r="K20">
        <f t="shared" si="3"/>
        <v>1</v>
      </c>
      <c r="L20">
        <f t="shared" si="3"/>
        <v>7</v>
      </c>
      <c r="M20">
        <f t="shared" si="3"/>
        <v>6</v>
      </c>
      <c r="N20">
        <f t="shared" si="4"/>
        <v>50</v>
      </c>
      <c r="O20">
        <f t="shared" si="4"/>
        <v>50</v>
      </c>
      <c r="P20">
        <f t="shared" si="4"/>
        <v>50</v>
      </c>
      <c r="Q20">
        <f t="shared" si="4"/>
        <v>50</v>
      </c>
      <c r="R20">
        <f t="shared" si="4"/>
        <v>50</v>
      </c>
      <c r="S20">
        <f t="shared" si="4"/>
        <v>50</v>
      </c>
      <c r="T20">
        <f t="shared" si="4"/>
        <v>50</v>
      </c>
      <c r="U20">
        <f t="shared" si="4"/>
        <v>50</v>
      </c>
      <c r="V20">
        <f t="shared" si="4"/>
        <v>50</v>
      </c>
      <c r="W20">
        <f t="shared" si="4"/>
        <v>49</v>
      </c>
    </row>
    <row r="21" spans="1:23" x14ac:dyDescent="0.3">
      <c r="A21" s="1">
        <f t="shared" si="5"/>
        <v>42714</v>
      </c>
      <c r="B21">
        <v>31</v>
      </c>
      <c r="C21" s="2">
        <f t="shared" si="2"/>
        <v>42714</v>
      </c>
      <c r="D21">
        <f t="shared" si="3"/>
        <v>7</v>
      </c>
      <c r="E21">
        <f t="shared" si="3"/>
        <v>6</v>
      </c>
      <c r="F21">
        <f t="shared" si="3"/>
        <v>5</v>
      </c>
      <c r="G21">
        <f t="shared" si="3"/>
        <v>6</v>
      </c>
      <c r="H21">
        <f t="shared" si="3"/>
        <v>5</v>
      </c>
      <c r="I21">
        <f t="shared" si="3"/>
        <v>4</v>
      </c>
      <c r="J21">
        <f t="shared" si="3"/>
        <v>3</v>
      </c>
      <c r="K21">
        <f t="shared" si="3"/>
        <v>2</v>
      </c>
      <c r="L21">
        <f t="shared" si="3"/>
        <v>1</v>
      </c>
      <c r="M21">
        <f t="shared" si="3"/>
        <v>7</v>
      </c>
      <c r="N21">
        <f t="shared" si="4"/>
        <v>50</v>
      </c>
      <c r="O21">
        <f t="shared" si="4"/>
        <v>50</v>
      </c>
      <c r="P21">
        <f t="shared" si="4"/>
        <v>50</v>
      </c>
      <c r="Q21">
        <f t="shared" si="4"/>
        <v>50</v>
      </c>
      <c r="R21">
        <f t="shared" si="4"/>
        <v>50</v>
      </c>
      <c r="S21">
        <f t="shared" si="4"/>
        <v>50</v>
      </c>
      <c r="T21">
        <f t="shared" si="4"/>
        <v>50</v>
      </c>
      <c r="U21">
        <f t="shared" si="4"/>
        <v>51</v>
      </c>
      <c r="V21">
        <f t="shared" si="4"/>
        <v>50</v>
      </c>
      <c r="W21">
        <f t="shared" si="4"/>
        <v>49</v>
      </c>
    </row>
    <row r="22" spans="1:23" x14ac:dyDescent="0.3">
      <c r="A22" s="1">
        <f t="shared" si="5"/>
        <v>42715</v>
      </c>
      <c r="B22">
        <v>30</v>
      </c>
      <c r="C22" s="2">
        <f t="shared" si="2"/>
        <v>42715</v>
      </c>
      <c r="D22">
        <f t="shared" si="3"/>
        <v>1</v>
      </c>
      <c r="E22">
        <f t="shared" si="3"/>
        <v>7</v>
      </c>
      <c r="F22">
        <f t="shared" si="3"/>
        <v>6</v>
      </c>
      <c r="G22">
        <f t="shared" si="3"/>
        <v>7</v>
      </c>
      <c r="H22">
        <f t="shared" si="3"/>
        <v>6</v>
      </c>
      <c r="I22">
        <f t="shared" si="3"/>
        <v>5</v>
      </c>
      <c r="J22">
        <f t="shared" si="3"/>
        <v>4</v>
      </c>
      <c r="K22">
        <f t="shared" si="3"/>
        <v>3</v>
      </c>
      <c r="L22">
        <f t="shared" si="3"/>
        <v>2</v>
      </c>
      <c r="M22">
        <f t="shared" si="3"/>
        <v>1</v>
      </c>
      <c r="N22">
        <f t="shared" si="4"/>
        <v>51</v>
      </c>
      <c r="O22">
        <f t="shared" si="4"/>
        <v>50</v>
      </c>
      <c r="P22">
        <f t="shared" si="4"/>
        <v>50</v>
      </c>
      <c r="Q22">
        <f t="shared" si="4"/>
        <v>50</v>
      </c>
      <c r="R22">
        <f t="shared" si="4"/>
        <v>50</v>
      </c>
      <c r="S22">
        <f t="shared" si="4"/>
        <v>50</v>
      </c>
      <c r="T22">
        <f t="shared" si="4"/>
        <v>50</v>
      </c>
      <c r="U22">
        <f t="shared" si="4"/>
        <v>51</v>
      </c>
      <c r="V22">
        <f t="shared" si="4"/>
        <v>51</v>
      </c>
      <c r="W22">
        <f t="shared" si="4"/>
        <v>49</v>
      </c>
    </row>
    <row r="23" spans="1:23" x14ac:dyDescent="0.3">
      <c r="A23" s="1">
        <f t="shared" si="5"/>
        <v>42716</v>
      </c>
      <c r="B23">
        <v>39</v>
      </c>
      <c r="C23" s="2">
        <f t="shared" si="2"/>
        <v>42716</v>
      </c>
      <c r="D23">
        <f t="shared" si="3"/>
        <v>2</v>
      </c>
      <c r="E23">
        <f t="shared" si="3"/>
        <v>1</v>
      </c>
      <c r="F23">
        <f t="shared" si="3"/>
        <v>0</v>
      </c>
      <c r="G23">
        <f t="shared" si="3"/>
        <v>1</v>
      </c>
      <c r="H23">
        <f t="shared" si="3"/>
        <v>7</v>
      </c>
      <c r="I23">
        <f t="shared" si="3"/>
        <v>6</v>
      </c>
      <c r="J23">
        <f t="shared" si="3"/>
        <v>5</v>
      </c>
      <c r="K23">
        <f t="shared" si="3"/>
        <v>4</v>
      </c>
      <c r="L23">
        <f t="shared" si="3"/>
        <v>3</v>
      </c>
      <c r="M23">
        <f t="shared" si="3"/>
        <v>2</v>
      </c>
      <c r="N23">
        <f t="shared" si="4"/>
        <v>51</v>
      </c>
      <c r="O23">
        <f t="shared" si="4"/>
        <v>51</v>
      </c>
      <c r="P23">
        <f t="shared" si="4"/>
        <v>51</v>
      </c>
      <c r="Q23">
        <f t="shared" si="4"/>
        <v>50</v>
      </c>
      <c r="R23">
        <f t="shared" si="4"/>
        <v>50</v>
      </c>
      <c r="S23">
        <f t="shared" si="4"/>
        <v>50</v>
      </c>
      <c r="T23">
        <f t="shared" si="4"/>
        <v>50</v>
      </c>
      <c r="U23">
        <f t="shared" si="4"/>
        <v>51</v>
      </c>
      <c r="V23">
        <f t="shared" si="4"/>
        <v>51</v>
      </c>
      <c r="W23">
        <f t="shared" si="4"/>
        <v>50</v>
      </c>
    </row>
    <row r="24" spans="1:23" x14ac:dyDescent="0.3">
      <c r="A24" s="1">
        <f t="shared" si="5"/>
        <v>42717</v>
      </c>
      <c r="B24">
        <v>34</v>
      </c>
      <c r="C24" s="2">
        <f t="shared" si="2"/>
        <v>42717</v>
      </c>
      <c r="D24">
        <f t="shared" si="3"/>
        <v>3</v>
      </c>
      <c r="E24">
        <f t="shared" si="3"/>
        <v>2</v>
      </c>
      <c r="F24">
        <f t="shared" si="3"/>
        <v>1</v>
      </c>
      <c r="G24">
        <f t="shared" si="3"/>
        <v>2</v>
      </c>
      <c r="H24">
        <f t="shared" si="3"/>
        <v>1</v>
      </c>
      <c r="I24">
        <f t="shared" si="3"/>
        <v>7</v>
      </c>
      <c r="J24">
        <f t="shared" si="3"/>
        <v>6</v>
      </c>
      <c r="K24">
        <f t="shared" si="3"/>
        <v>5</v>
      </c>
      <c r="L24">
        <f t="shared" si="3"/>
        <v>4</v>
      </c>
      <c r="M24">
        <f t="shared" si="3"/>
        <v>3</v>
      </c>
      <c r="N24">
        <f t="shared" si="4"/>
        <v>51</v>
      </c>
      <c r="O24">
        <f t="shared" si="4"/>
        <v>51</v>
      </c>
      <c r="P24">
        <f t="shared" si="4"/>
        <v>51</v>
      </c>
      <c r="Q24">
        <f t="shared" si="4"/>
        <v>51</v>
      </c>
      <c r="R24">
        <f t="shared" si="4"/>
        <v>50</v>
      </c>
      <c r="S24">
        <f t="shared" si="4"/>
        <v>50</v>
      </c>
      <c r="T24">
        <f t="shared" si="4"/>
        <v>50</v>
      </c>
      <c r="U24">
        <f t="shared" si="4"/>
        <v>51</v>
      </c>
      <c r="V24">
        <f t="shared" si="4"/>
        <v>51</v>
      </c>
      <c r="W24">
        <f t="shared" si="4"/>
        <v>50</v>
      </c>
    </row>
    <row r="25" spans="1:23" x14ac:dyDescent="0.3">
      <c r="A25" s="1">
        <f t="shared" si="5"/>
        <v>42718</v>
      </c>
      <c r="B25">
        <v>30</v>
      </c>
      <c r="C25" s="2">
        <f t="shared" si="2"/>
        <v>42718</v>
      </c>
      <c r="D25">
        <f t="shared" si="3"/>
        <v>4</v>
      </c>
      <c r="E25">
        <f t="shared" si="3"/>
        <v>3</v>
      </c>
      <c r="F25">
        <f t="shared" si="3"/>
        <v>2</v>
      </c>
      <c r="G25">
        <f t="shared" si="3"/>
        <v>3</v>
      </c>
      <c r="H25">
        <f t="shared" si="3"/>
        <v>2</v>
      </c>
      <c r="I25">
        <f t="shared" si="3"/>
        <v>1</v>
      </c>
      <c r="J25">
        <f t="shared" si="3"/>
        <v>7</v>
      </c>
      <c r="K25">
        <f t="shared" si="3"/>
        <v>6</v>
      </c>
      <c r="L25">
        <f t="shared" si="3"/>
        <v>5</v>
      </c>
      <c r="M25">
        <f t="shared" si="3"/>
        <v>4</v>
      </c>
      <c r="N25">
        <f t="shared" si="4"/>
        <v>51</v>
      </c>
      <c r="O25">
        <f t="shared" si="4"/>
        <v>51</v>
      </c>
      <c r="P25">
        <f t="shared" si="4"/>
        <v>51</v>
      </c>
      <c r="Q25">
        <f t="shared" si="4"/>
        <v>51</v>
      </c>
      <c r="R25">
        <f t="shared" si="4"/>
        <v>51</v>
      </c>
      <c r="S25">
        <f t="shared" si="4"/>
        <v>50</v>
      </c>
      <c r="T25">
        <f t="shared" si="4"/>
        <v>50</v>
      </c>
      <c r="U25">
        <f t="shared" si="4"/>
        <v>51</v>
      </c>
      <c r="V25">
        <f t="shared" si="4"/>
        <v>51</v>
      </c>
      <c r="W25">
        <f t="shared" si="4"/>
        <v>50</v>
      </c>
    </row>
    <row r="26" spans="1:23" x14ac:dyDescent="0.3">
      <c r="A26" s="1">
        <f t="shared" si="5"/>
        <v>42719</v>
      </c>
      <c r="B26">
        <v>40</v>
      </c>
      <c r="C26" s="2">
        <f t="shared" si="2"/>
        <v>42719</v>
      </c>
      <c r="D26">
        <f t="shared" si="3"/>
        <v>5</v>
      </c>
      <c r="E26">
        <f t="shared" si="3"/>
        <v>4</v>
      </c>
      <c r="F26">
        <f t="shared" si="3"/>
        <v>3</v>
      </c>
      <c r="G26">
        <f t="shared" si="3"/>
        <v>4</v>
      </c>
      <c r="H26">
        <f t="shared" si="3"/>
        <v>3</v>
      </c>
      <c r="I26">
        <f t="shared" si="3"/>
        <v>2</v>
      </c>
      <c r="J26">
        <f t="shared" si="3"/>
        <v>1</v>
      </c>
      <c r="K26">
        <f t="shared" si="3"/>
        <v>7</v>
      </c>
      <c r="L26">
        <f t="shared" si="3"/>
        <v>6</v>
      </c>
      <c r="M26">
        <f t="shared" si="3"/>
        <v>5</v>
      </c>
      <c r="N26">
        <f t="shared" si="4"/>
        <v>51</v>
      </c>
      <c r="O26">
        <f t="shared" si="4"/>
        <v>51</v>
      </c>
      <c r="P26">
        <f t="shared" si="4"/>
        <v>51</v>
      </c>
      <c r="Q26">
        <f t="shared" si="4"/>
        <v>51</v>
      </c>
      <c r="R26">
        <f t="shared" si="4"/>
        <v>51</v>
      </c>
      <c r="S26">
        <f t="shared" si="4"/>
        <v>51</v>
      </c>
      <c r="T26">
        <f t="shared" si="4"/>
        <v>50</v>
      </c>
      <c r="U26">
        <f t="shared" si="4"/>
        <v>51</v>
      </c>
      <c r="V26">
        <f t="shared" si="4"/>
        <v>51</v>
      </c>
      <c r="W26">
        <f t="shared" si="4"/>
        <v>50</v>
      </c>
    </row>
    <row r="27" spans="1:23" x14ac:dyDescent="0.3">
      <c r="A27" s="1">
        <f t="shared" si="5"/>
        <v>42720</v>
      </c>
      <c r="B27">
        <v>30</v>
      </c>
      <c r="C27" s="2">
        <f t="shared" si="2"/>
        <v>42720</v>
      </c>
      <c r="D27">
        <f t="shared" si="3"/>
        <v>6</v>
      </c>
      <c r="E27">
        <f t="shared" si="3"/>
        <v>5</v>
      </c>
      <c r="F27">
        <f t="shared" si="3"/>
        <v>4</v>
      </c>
      <c r="G27">
        <f t="shared" si="3"/>
        <v>5</v>
      </c>
      <c r="H27">
        <f t="shared" si="3"/>
        <v>4</v>
      </c>
      <c r="I27">
        <f t="shared" si="3"/>
        <v>3</v>
      </c>
      <c r="J27">
        <f t="shared" si="3"/>
        <v>2</v>
      </c>
      <c r="K27">
        <f t="shared" si="3"/>
        <v>1</v>
      </c>
      <c r="L27">
        <f t="shared" si="3"/>
        <v>7</v>
      </c>
      <c r="M27">
        <f t="shared" si="3"/>
        <v>6</v>
      </c>
      <c r="N27">
        <f t="shared" si="4"/>
        <v>51</v>
      </c>
      <c r="O27">
        <f t="shared" si="4"/>
        <v>51</v>
      </c>
      <c r="P27">
        <f t="shared" si="4"/>
        <v>51</v>
      </c>
      <c r="Q27">
        <f t="shared" si="4"/>
        <v>51</v>
      </c>
      <c r="R27">
        <f t="shared" si="4"/>
        <v>51</v>
      </c>
      <c r="S27">
        <f t="shared" si="4"/>
        <v>51</v>
      </c>
      <c r="T27">
        <f t="shared" si="4"/>
        <v>51</v>
      </c>
      <c r="U27">
        <f t="shared" si="4"/>
        <v>51</v>
      </c>
      <c r="V27">
        <f t="shared" si="4"/>
        <v>51</v>
      </c>
      <c r="W27">
        <f t="shared" si="4"/>
        <v>50</v>
      </c>
    </row>
    <row r="28" spans="1:23" x14ac:dyDescent="0.3">
      <c r="A28" s="1">
        <f t="shared" si="5"/>
        <v>42721</v>
      </c>
      <c r="B28">
        <v>38</v>
      </c>
      <c r="C28" s="2">
        <f t="shared" si="2"/>
        <v>42721</v>
      </c>
      <c r="D28">
        <f t="shared" si="3"/>
        <v>7</v>
      </c>
      <c r="E28">
        <f t="shared" si="3"/>
        <v>6</v>
      </c>
      <c r="F28">
        <f t="shared" si="3"/>
        <v>5</v>
      </c>
      <c r="G28">
        <f t="shared" si="3"/>
        <v>6</v>
      </c>
      <c r="H28">
        <f t="shared" si="3"/>
        <v>5</v>
      </c>
      <c r="I28">
        <f t="shared" si="3"/>
        <v>4</v>
      </c>
      <c r="J28">
        <f t="shared" si="3"/>
        <v>3</v>
      </c>
      <c r="K28">
        <f t="shared" si="3"/>
        <v>2</v>
      </c>
      <c r="L28">
        <f t="shared" si="3"/>
        <v>1</v>
      </c>
      <c r="M28">
        <f t="shared" si="3"/>
        <v>7</v>
      </c>
      <c r="N28">
        <f t="shared" si="4"/>
        <v>51</v>
      </c>
      <c r="O28">
        <f t="shared" si="4"/>
        <v>51</v>
      </c>
      <c r="P28">
        <f t="shared" si="4"/>
        <v>51</v>
      </c>
      <c r="Q28">
        <f t="shared" si="4"/>
        <v>51</v>
      </c>
      <c r="R28">
        <f t="shared" si="4"/>
        <v>51</v>
      </c>
      <c r="S28">
        <f t="shared" si="4"/>
        <v>51</v>
      </c>
      <c r="T28">
        <f t="shared" si="4"/>
        <v>51</v>
      </c>
      <c r="U28">
        <f t="shared" si="4"/>
        <v>52</v>
      </c>
      <c r="V28">
        <f t="shared" si="4"/>
        <v>51</v>
      </c>
      <c r="W28">
        <f t="shared" si="4"/>
        <v>50</v>
      </c>
    </row>
    <row r="29" spans="1:23" x14ac:dyDescent="0.3">
      <c r="A29" s="1">
        <f t="shared" si="5"/>
        <v>42722</v>
      </c>
      <c r="B29">
        <v>33</v>
      </c>
      <c r="C29" s="2">
        <f t="shared" si="2"/>
        <v>42722</v>
      </c>
      <c r="D29">
        <f t="shared" si="3"/>
        <v>1</v>
      </c>
      <c r="E29">
        <f t="shared" si="3"/>
        <v>7</v>
      </c>
      <c r="F29">
        <f t="shared" si="3"/>
        <v>6</v>
      </c>
      <c r="G29">
        <f t="shared" si="3"/>
        <v>7</v>
      </c>
      <c r="H29">
        <f t="shared" si="3"/>
        <v>6</v>
      </c>
      <c r="I29">
        <f t="shared" si="3"/>
        <v>5</v>
      </c>
      <c r="J29">
        <f t="shared" si="3"/>
        <v>4</v>
      </c>
      <c r="K29">
        <f t="shared" si="3"/>
        <v>3</v>
      </c>
      <c r="L29">
        <f t="shared" si="3"/>
        <v>2</v>
      </c>
      <c r="M29">
        <f t="shared" si="3"/>
        <v>1</v>
      </c>
      <c r="N29">
        <f t="shared" si="4"/>
        <v>52</v>
      </c>
      <c r="O29">
        <f t="shared" si="4"/>
        <v>51</v>
      </c>
      <c r="P29">
        <f t="shared" si="4"/>
        <v>51</v>
      </c>
      <c r="Q29">
        <f t="shared" si="4"/>
        <v>51</v>
      </c>
      <c r="R29">
        <f t="shared" si="4"/>
        <v>51</v>
      </c>
      <c r="S29">
        <f t="shared" si="4"/>
        <v>51</v>
      </c>
      <c r="T29">
        <f t="shared" si="4"/>
        <v>51</v>
      </c>
      <c r="U29">
        <f t="shared" si="4"/>
        <v>52</v>
      </c>
      <c r="V29">
        <f t="shared" si="4"/>
        <v>52</v>
      </c>
      <c r="W29">
        <f t="shared" si="4"/>
        <v>50</v>
      </c>
    </row>
    <row r="30" spans="1:23" x14ac:dyDescent="0.3">
      <c r="A30" s="1">
        <f t="shared" si="5"/>
        <v>42723</v>
      </c>
      <c r="B30">
        <v>37</v>
      </c>
      <c r="C30" s="2">
        <f t="shared" si="2"/>
        <v>42723</v>
      </c>
      <c r="D30">
        <f t="shared" si="3"/>
        <v>2</v>
      </c>
      <c r="E30">
        <f t="shared" si="3"/>
        <v>1</v>
      </c>
      <c r="F30">
        <f t="shared" si="3"/>
        <v>0</v>
      </c>
      <c r="G30">
        <f t="shared" si="3"/>
        <v>1</v>
      </c>
      <c r="H30">
        <f t="shared" si="3"/>
        <v>7</v>
      </c>
      <c r="I30">
        <f t="shared" si="3"/>
        <v>6</v>
      </c>
      <c r="J30">
        <f t="shared" si="3"/>
        <v>5</v>
      </c>
      <c r="K30">
        <f t="shared" si="3"/>
        <v>4</v>
      </c>
      <c r="L30">
        <f t="shared" si="3"/>
        <v>3</v>
      </c>
      <c r="M30">
        <f t="shared" si="3"/>
        <v>2</v>
      </c>
      <c r="N30">
        <f t="shared" si="4"/>
        <v>52</v>
      </c>
      <c r="O30">
        <f t="shared" si="4"/>
        <v>52</v>
      </c>
      <c r="P30">
        <f t="shared" si="4"/>
        <v>52</v>
      </c>
      <c r="Q30">
        <f t="shared" si="4"/>
        <v>51</v>
      </c>
      <c r="R30">
        <f t="shared" si="4"/>
        <v>51</v>
      </c>
      <c r="S30">
        <f t="shared" si="4"/>
        <v>51</v>
      </c>
      <c r="T30">
        <f t="shared" si="4"/>
        <v>51</v>
      </c>
      <c r="U30">
        <f t="shared" si="4"/>
        <v>52</v>
      </c>
      <c r="V30">
        <f t="shared" si="4"/>
        <v>52</v>
      </c>
      <c r="W30">
        <f t="shared" si="4"/>
        <v>51</v>
      </c>
    </row>
    <row r="31" spans="1:23" x14ac:dyDescent="0.3">
      <c r="A31" s="1">
        <f t="shared" si="5"/>
        <v>42724</v>
      </c>
      <c r="B31">
        <v>28</v>
      </c>
      <c r="C31" s="2">
        <f t="shared" si="2"/>
        <v>42724</v>
      </c>
      <c r="D31">
        <f t="shared" si="3"/>
        <v>3</v>
      </c>
      <c r="E31">
        <f t="shared" si="3"/>
        <v>2</v>
      </c>
      <c r="F31">
        <f t="shared" si="3"/>
        <v>1</v>
      </c>
      <c r="G31">
        <f t="shared" si="3"/>
        <v>2</v>
      </c>
      <c r="H31">
        <f t="shared" si="3"/>
        <v>1</v>
      </c>
      <c r="I31">
        <f t="shared" si="3"/>
        <v>7</v>
      </c>
      <c r="J31">
        <f t="shared" si="3"/>
        <v>6</v>
      </c>
      <c r="K31">
        <f t="shared" si="3"/>
        <v>5</v>
      </c>
      <c r="L31">
        <f t="shared" si="3"/>
        <v>4</v>
      </c>
      <c r="M31">
        <f t="shared" si="3"/>
        <v>3</v>
      </c>
      <c r="N31">
        <f t="shared" si="4"/>
        <v>52</v>
      </c>
      <c r="O31">
        <f t="shared" si="4"/>
        <v>52</v>
      </c>
      <c r="P31">
        <f t="shared" si="4"/>
        <v>52</v>
      </c>
      <c r="Q31">
        <f t="shared" si="4"/>
        <v>52</v>
      </c>
      <c r="R31">
        <f t="shared" si="4"/>
        <v>51</v>
      </c>
      <c r="S31">
        <f t="shared" si="4"/>
        <v>51</v>
      </c>
      <c r="T31">
        <f t="shared" si="4"/>
        <v>51</v>
      </c>
      <c r="U31">
        <f t="shared" si="4"/>
        <v>52</v>
      </c>
      <c r="V31">
        <f t="shared" si="4"/>
        <v>52</v>
      </c>
      <c r="W31">
        <f t="shared" si="4"/>
        <v>51</v>
      </c>
    </row>
    <row r="32" spans="1:23" x14ac:dyDescent="0.3">
      <c r="A32" s="1">
        <f t="shared" si="5"/>
        <v>42725</v>
      </c>
      <c r="B32">
        <v>34</v>
      </c>
      <c r="C32" s="2">
        <f t="shared" si="2"/>
        <v>42725</v>
      </c>
      <c r="D32">
        <f t="shared" si="3"/>
        <v>4</v>
      </c>
      <c r="E32">
        <f t="shared" si="3"/>
        <v>3</v>
      </c>
      <c r="F32">
        <f t="shared" si="3"/>
        <v>2</v>
      </c>
      <c r="G32">
        <f t="shared" si="3"/>
        <v>3</v>
      </c>
      <c r="H32">
        <f t="shared" si="3"/>
        <v>2</v>
      </c>
      <c r="I32">
        <f t="shared" si="3"/>
        <v>1</v>
      </c>
      <c r="J32">
        <f t="shared" si="3"/>
        <v>7</v>
      </c>
      <c r="K32">
        <f t="shared" si="3"/>
        <v>6</v>
      </c>
      <c r="L32">
        <f t="shared" si="3"/>
        <v>5</v>
      </c>
      <c r="M32">
        <f t="shared" si="3"/>
        <v>4</v>
      </c>
      <c r="N32">
        <f t="shared" si="4"/>
        <v>52</v>
      </c>
      <c r="O32">
        <f t="shared" si="4"/>
        <v>52</v>
      </c>
      <c r="P32">
        <f t="shared" si="4"/>
        <v>52</v>
      </c>
      <c r="Q32">
        <f t="shared" si="4"/>
        <v>52</v>
      </c>
      <c r="R32">
        <f t="shared" si="4"/>
        <v>52</v>
      </c>
      <c r="S32">
        <f t="shared" si="4"/>
        <v>51</v>
      </c>
      <c r="T32">
        <f t="shared" si="4"/>
        <v>51</v>
      </c>
      <c r="U32">
        <f t="shared" si="4"/>
        <v>52</v>
      </c>
      <c r="V32">
        <f t="shared" si="4"/>
        <v>52</v>
      </c>
      <c r="W32">
        <f t="shared" si="4"/>
        <v>51</v>
      </c>
    </row>
    <row r="33" spans="1:23" x14ac:dyDescent="0.3">
      <c r="A33" s="1">
        <f t="shared" si="5"/>
        <v>42726</v>
      </c>
      <c r="B33">
        <v>44</v>
      </c>
      <c r="C33" s="2">
        <f t="shared" si="2"/>
        <v>42726</v>
      </c>
      <c r="D33">
        <f t="shared" si="3"/>
        <v>5</v>
      </c>
      <c r="E33">
        <f t="shared" si="3"/>
        <v>4</v>
      </c>
      <c r="F33">
        <f t="shared" si="3"/>
        <v>3</v>
      </c>
      <c r="G33">
        <f t="shared" si="3"/>
        <v>4</v>
      </c>
      <c r="H33">
        <f t="shared" si="3"/>
        <v>3</v>
      </c>
      <c r="I33">
        <f t="shared" si="3"/>
        <v>2</v>
      </c>
      <c r="J33">
        <f t="shared" si="3"/>
        <v>1</v>
      </c>
      <c r="K33">
        <f t="shared" si="3"/>
        <v>7</v>
      </c>
      <c r="L33">
        <f t="shared" si="3"/>
        <v>6</v>
      </c>
      <c r="M33">
        <f t="shared" si="3"/>
        <v>5</v>
      </c>
      <c r="N33">
        <f t="shared" si="4"/>
        <v>52</v>
      </c>
      <c r="O33">
        <f t="shared" si="4"/>
        <v>52</v>
      </c>
      <c r="P33">
        <f t="shared" si="4"/>
        <v>52</v>
      </c>
      <c r="Q33">
        <f t="shared" si="4"/>
        <v>52</v>
      </c>
      <c r="R33">
        <f t="shared" si="4"/>
        <v>52</v>
      </c>
      <c r="S33">
        <f t="shared" si="4"/>
        <v>52</v>
      </c>
      <c r="T33">
        <f t="shared" si="4"/>
        <v>51</v>
      </c>
      <c r="U33">
        <f t="shared" si="4"/>
        <v>52</v>
      </c>
      <c r="V33">
        <f t="shared" si="4"/>
        <v>52</v>
      </c>
      <c r="W33">
        <f t="shared" si="4"/>
        <v>51</v>
      </c>
    </row>
    <row r="34" spans="1:23" x14ac:dyDescent="0.3">
      <c r="A34" s="1">
        <f t="shared" si="5"/>
        <v>42727</v>
      </c>
      <c r="B34">
        <v>48</v>
      </c>
      <c r="C34" s="2">
        <f t="shared" si="2"/>
        <v>42727</v>
      </c>
      <c r="D34">
        <f t="shared" si="3"/>
        <v>6</v>
      </c>
      <c r="E34">
        <f t="shared" si="3"/>
        <v>5</v>
      </c>
      <c r="F34">
        <f t="shared" si="3"/>
        <v>4</v>
      </c>
      <c r="G34">
        <f t="shared" si="3"/>
        <v>5</v>
      </c>
      <c r="H34">
        <f t="shared" si="3"/>
        <v>4</v>
      </c>
      <c r="I34">
        <f t="shared" si="3"/>
        <v>3</v>
      </c>
      <c r="J34">
        <f t="shared" si="3"/>
        <v>2</v>
      </c>
      <c r="K34">
        <f t="shared" si="3"/>
        <v>1</v>
      </c>
      <c r="L34">
        <f t="shared" si="3"/>
        <v>7</v>
      </c>
      <c r="M34">
        <f t="shared" si="3"/>
        <v>6</v>
      </c>
      <c r="N34">
        <f t="shared" si="4"/>
        <v>52</v>
      </c>
      <c r="O34">
        <f t="shared" si="4"/>
        <v>52</v>
      </c>
      <c r="P34">
        <f t="shared" si="4"/>
        <v>52</v>
      </c>
      <c r="Q34">
        <f t="shared" si="4"/>
        <v>52</v>
      </c>
      <c r="R34">
        <f t="shared" si="4"/>
        <v>52</v>
      </c>
      <c r="S34">
        <f t="shared" si="4"/>
        <v>52</v>
      </c>
      <c r="T34">
        <f t="shared" si="4"/>
        <v>52</v>
      </c>
      <c r="U34">
        <f t="shared" si="4"/>
        <v>52</v>
      </c>
      <c r="V34">
        <f t="shared" si="4"/>
        <v>52</v>
      </c>
      <c r="W34">
        <f t="shared" si="4"/>
        <v>51</v>
      </c>
    </row>
    <row r="35" spans="1:23" x14ac:dyDescent="0.3">
      <c r="A35" s="1">
        <f t="shared" si="5"/>
        <v>42728</v>
      </c>
      <c r="B35">
        <v>38</v>
      </c>
      <c r="C35" s="2">
        <f t="shared" si="2"/>
        <v>42728</v>
      </c>
      <c r="D35">
        <f t="shared" si="3"/>
        <v>7</v>
      </c>
      <c r="E35">
        <f t="shared" si="3"/>
        <v>6</v>
      </c>
      <c r="F35">
        <f t="shared" si="3"/>
        <v>5</v>
      </c>
      <c r="G35">
        <f t="shared" si="3"/>
        <v>6</v>
      </c>
      <c r="H35">
        <f t="shared" si="3"/>
        <v>5</v>
      </c>
      <c r="I35">
        <f t="shared" si="3"/>
        <v>4</v>
      </c>
      <c r="J35">
        <f t="shared" si="3"/>
        <v>3</v>
      </c>
      <c r="K35">
        <f t="shared" si="3"/>
        <v>2</v>
      </c>
      <c r="L35">
        <f t="shared" si="3"/>
        <v>1</v>
      </c>
      <c r="M35">
        <f t="shared" si="3"/>
        <v>7</v>
      </c>
      <c r="N35">
        <f t="shared" si="4"/>
        <v>52</v>
      </c>
      <c r="O35">
        <f t="shared" si="4"/>
        <v>52</v>
      </c>
      <c r="P35">
        <f t="shared" si="4"/>
        <v>52</v>
      </c>
      <c r="Q35">
        <f t="shared" si="4"/>
        <v>52</v>
      </c>
      <c r="R35">
        <f t="shared" si="4"/>
        <v>52</v>
      </c>
      <c r="S35">
        <f t="shared" si="4"/>
        <v>52</v>
      </c>
      <c r="T35">
        <f t="shared" si="4"/>
        <v>52</v>
      </c>
      <c r="U35">
        <f t="shared" si="4"/>
        <v>53</v>
      </c>
      <c r="V35">
        <f t="shared" si="4"/>
        <v>52</v>
      </c>
      <c r="W35">
        <f t="shared" si="4"/>
        <v>51</v>
      </c>
    </row>
    <row r="36" spans="1:23" x14ac:dyDescent="0.3">
      <c r="A36" s="1">
        <f t="shared" si="5"/>
        <v>42729</v>
      </c>
      <c r="B36">
        <v>46</v>
      </c>
      <c r="C36" s="2">
        <f t="shared" si="2"/>
        <v>42729</v>
      </c>
      <c r="D36">
        <f t="shared" si="3"/>
        <v>1</v>
      </c>
      <c r="E36">
        <f t="shared" si="3"/>
        <v>7</v>
      </c>
      <c r="F36">
        <f t="shared" si="3"/>
        <v>6</v>
      </c>
      <c r="G36">
        <f t="shared" si="3"/>
        <v>7</v>
      </c>
      <c r="H36">
        <f t="shared" si="3"/>
        <v>6</v>
      </c>
      <c r="I36">
        <f t="shared" si="3"/>
        <v>5</v>
      </c>
      <c r="J36">
        <f t="shared" si="3"/>
        <v>4</v>
      </c>
      <c r="K36">
        <f t="shared" si="3"/>
        <v>3</v>
      </c>
      <c r="L36">
        <f t="shared" si="3"/>
        <v>2</v>
      </c>
      <c r="M36">
        <f t="shared" si="3"/>
        <v>1</v>
      </c>
      <c r="N36">
        <f t="shared" si="4"/>
        <v>53</v>
      </c>
      <c r="O36">
        <f t="shared" si="4"/>
        <v>52</v>
      </c>
      <c r="P36">
        <f t="shared" si="4"/>
        <v>52</v>
      </c>
      <c r="Q36">
        <f t="shared" si="4"/>
        <v>52</v>
      </c>
      <c r="R36">
        <f t="shared" si="4"/>
        <v>52</v>
      </c>
      <c r="S36">
        <f t="shared" si="4"/>
        <v>52</v>
      </c>
      <c r="T36">
        <f t="shared" si="4"/>
        <v>52</v>
      </c>
      <c r="U36">
        <f t="shared" si="4"/>
        <v>53</v>
      </c>
      <c r="V36">
        <f t="shared" si="4"/>
        <v>53</v>
      </c>
      <c r="W36">
        <f t="shared" si="4"/>
        <v>51</v>
      </c>
    </row>
    <row r="37" spans="1:23" x14ac:dyDescent="0.3">
      <c r="A37" s="1">
        <f t="shared" si="5"/>
        <v>42730</v>
      </c>
      <c r="B37">
        <v>29</v>
      </c>
      <c r="C37" s="2">
        <f t="shared" si="2"/>
        <v>42730</v>
      </c>
      <c r="D37">
        <f t="shared" ref="D37:M63" si="6">WEEKDAY($C37,D$3)</f>
        <v>2</v>
      </c>
      <c r="E37">
        <f t="shared" si="6"/>
        <v>1</v>
      </c>
      <c r="F37">
        <f t="shared" si="6"/>
        <v>0</v>
      </c>
      <c r="G37">
        <f t="shared" si="6"/>
        <v>1</v>
      </c>
      <c r="H37">
        <f t="shared" si="6"/>
        <v>7</v>
      </c>
      <c r="I37">
        <f t="shared" si="6"/>
        <v>6</v>
      </c>
      <c r="J37">
        <f t="shared" si="6"/>
        <v>5</v>
      </c>
      <c r="K37">
        <f t="shared" si="6"/>
        <v>4</v>
      </c>
      <c r="L37">
        <f t="shared" si="6"/>
        <v>3</v>
      </c>
      <c r="M37">
        <f t="shared" si="6"/>
        <v>2</v>
      </c>
      <c r="N37">
        <f t="shared" ref="N37:W63" si="7">WEEKNUM($C37,N$3)</f>
        <v>53</v>
      </c>
      <c r="O37">
        <f t="shared" si="7"/>
        <v>53</v>
      </c>
      <c r="P37">
        <f t="shared" si="7"/>
        <v>53</v>
      </c>
      <c r="Q37">
        <f t="shared" si="7"/>
        <v>52</v>
      </c>
      <c r="R37">
        <f t="shared" si="7"/>
        <v>52</v>
      </c>
      <c r="S37">
        <f t="shared" si="7"/>
        <v>52</v>
      </c>
      <c r="T37">
        <f t="shared" si="7"/>
        <v>52</v>
      </c>
      <c r="U37">
        <f t="shared" si="7"/>
        <v>53</v>
      </c>
      <c r="V37">
        <f t="shared" si="7"/>
        <v>53</v>
      </c>
      <c r="W37">
        <f t="shared" si="7"/>
        <v>52</v>
      </c>
    </row>
    <row r="38" spans="1:23" x14ac:dyDescent="0.3">
      <c r="A38" s="1">
        <f t="shared" si="5"/>
        <v>42731</v>
      </c>
      <c r="B38">
        <v>45</v>
      </c>
      <c r="C38" s="2">
        <f t="shared" si="2"/>
        <v>42731</v>
      </c>
      <c r="D38">
        <f t="shared" si="6"/>
        <v>3</v>
      </c>
      <c r="E38">
        <f t="shared" si="6"/>
        <v>2</v>
      </c>
      <c r="F38">
        <f t="shared" si="6"/>
        <v>1</v>
      </c>
      <c r="G38">
        <f t="shared" si="6"/>
        <v>2</v>
      </c>
      <c r="H38">
        <f t="shared" si="6"/>
        <v>1</v>
      </c>
      <c r="I38">
        <f t="shared" si="6"/>
        <v>7</v>
      </c>
      <c r="J38">
        <f t="shared" si="6"/>
        <v>6</v>
      </c>
      <c r="K38">
        <f t="shared" si="6"/>
        <v>5</v>
      </c>
      <c r="L38">
        <f t="shared" si="6"/>
        <v>4</v>
      </c>
      <c r="M38">
        <f t="shared" si="6"/>
        <v>3</v>
      </c>
      <c r="N38">
        <f t="shared" si="7"/>
        <v>53</v>
      </c>
      <c r="O38">
        <f t="shared" si="7"/>
        <v>53</v>
      </c>
      <c r="P38">
        <f t="shared" si="7"/>
        <v>53</v>
      </c>
      <c r="Q38">
        <f t="shared" si="7"/>
        <v>53</v>
      </c>
      <c r="R38">
        <f t="shared" si="7"/>
        <v>52</v>
      </c>
      <c r="S38">
        <f t="shared" si="7"/>
        <v>52</v>
      </c>
      <c r="T38">
        <f t="shared" si="7"/>
        <v>52</v>
      </c>
      <c r="U38">
        <f t="shared" si="7"/>
        <v>53</v>
      </c>
      <c r="V38">
        <f t="shared" si="7"/>
        <v>53</v>
      </c>
      <c r="W38">
        <f t="shared" si="7"/>
        <v>52</v>
      </c>
    </row>
    <row r="39" spans="1:23" x14ac:dyDescent="0.3">
      <c r="A39" s="1">
        <f t="shared" si="5"/>
        <v>42732</v>
      </c>
      <c r="B39">
        <v>28</v>
      </c>
      <c r="C39" s="2">
        <f t="shared" si="2"/>
        <v>42732</v>
      </c>
      <c r="D39">
        <f t="shared" si="6"/>
        <v>4</v>
      </c>
      <c r="E39">
        <f t="shared" si="6"/>
        <v>3</v>
      </c>
      <c r="F39">
        <f t="shared" si="6"/>
        <v>2</v>
      </c>
      <c r="G39">
        <f t="shared" si="6"/>
        <v>3</v>
      </c>
      <c r="H39">
        <f t="shared" si="6"/>
        <v>2</v>
      </c>
      <c r="I39">
        <f t="shared" si="6"/>
        <v>1</v>
      </c>
      <c r="J39">
        <f t="shared" si="6"/>
        <v>7</v>
      </c>
      <c r="K39">
        <f t="shared" si="6"/>
        <v>6</v>
      </c>
      <c r="L39">
        <f t="shared" si="6"/>
        <v>5</v>
      </c>
      <c r="M39">
        <f t="shared" si="6"/>
        <v>4</v>
      </c>
      <c r="N39">
        <f t="shared" si="7"/>
        <v>53</v>
      </c>
      <c r="O39">
        <f t="shared" si="7"/>
        <v>53</v>
      </c>
      <c r="P39">
        <f t="shared" si="7"/>
        <v>53</v>
      </c>
      <c r="Q39">
        <f t="shared" si="7"/>
        <v>53</v>
      </c>
      <c r="R39">
        <f t="shared" si="7"/>
        <v>53</v>
      </c>
      <c r="S39">
        <f t="shared" si="7"/>
        <v>52</v>
      </c>
      <c r="T39">
        <f t="shared" si="7"/>
        <v>52</v>
      </c>
      <c r="U39">
        <f t="shared" si="7"/>
        <v>53</v>
      </c>
      <c r="V39">
        <f t="shared" si="7"/>
        <v>53</v>
      </c>
      <c r="W39">
        <f t="shared" si="7"/>
        <v>52</v>
      </c>
    </row>
    <row r="40" spans="1:23" x14ac:dyDescent="0.3">
      <c r="A40" s="1">
        <f t="shared" si="5"/>
        <v>42733</v>
      </c>
      <c r="B40">
        <v>45</v>
      </c>
      <c r="C40" s="2">
        <f t="shared" si="2"/>
        <v>42733</v>
      </c>
      <c r="D40">
        <f t="shared" si="6"/>
        <v>5</v>
      </c>
      <c r="E40">
        <f t="shared" si="6"/>
        <v>4</v>
      </c>
      <c r="F40">
        <f t="shared" si="6"/>
        <v>3</v>
      </c>
      <c r="G40">
        <f t="shared" si="6"/>
        <v>4</v>
      </c>
      <c r="H40">
        <f t="shared" si="6"/>
        <v>3</v>
      </c>
      <c r="I40">
        <f t="shared" si="6"/>
        <v>2</v>
      </c>
      <c r="J40">
        <f t="shared" si="6"/>
        <v>1</v>
      </c>
      <c r="K40">
        <f t="shared" si="6"/>
        <v>7</v>
      </c>
      <c r="L40">
        <f t="shared" si="6"/>
        <v>6</v>
      </c>
      <c r="M40">
        <f t="shared" si="6"/>
        <v>5</v>
      </c>
      <c r="N40">
        <f t="shared" si="7"/>
        <v>53</v>
      </c>
      <c r="O40">
        <f t="shared" si="7"/>
        <v>53</v>
      </c>
      <c r="P40">
        <f t="shared" si="7"/>
        <v>53</v>
      </c>
      <c r="Q40">
        <f t="shared" si="7"/>
        <v>53</v>
      </c>
      <c r="R40">
        <f t="shared" si="7"/>
        <v>53</v>
      </c>
      <c r="S40">
        <f t="shared" si="7"/>
        <v>53</v>
      </c>
      <c r="T40">
        <f t="shared" si="7"/>
        <v>52</v>
      </c>
      <c r="U40">
        <f t="shared" si="7"/>
        <v>53</v>
      </c>
      <c r="V40">
        <f t="shared" si="7"/>
        <v>53</v>
      </c>
      <c r="W40">
        <f t="shared" si="7"/>
        <v>52</v>
      </c>
    </row>
    <row r="41" spans="1:23" x14ac:dyDescent="0.3">
      <c r="A41" s="1">
        <f t="shared" si="5"/>
        <v>42734</v>
      </c>
      <c r="B41">
        <v>37</v>
      </c>
      <c r="C41" s="2">
        <f t="shared" si="2"/>
        <v>42734</v>
      </c>
      <c r="D41">
        <f t="shared" si="6"/>
        <v>6</v>
      </c>
      <c r="E41">
        <f t="shared" si="6"/>
        <v>5</v>
      </c>
      <c r="F41">
        <f t="shared" si="6"/>
        <v>4</v>
      </c>
      <c r="G41">
        <f t="shared" si="6"/>
        <v>5</v>
      </c>
      <c r="H41">
        <f t="shared" si="6"/>
        <v>4</v>
      </c>
      <c r="I41">
        <f t="shared" si="6"/>
        <v>3</v>
      </c>
      <c r="J41">
        <f t="shared" si="6"/>
        <v>2</v>
      </c>
      <c r="K41">
        <f t="shared" si="6"/>
        <v>1</v>
      </c>
      <c r="L41">
        <f t="shared" si="6"/>
        <v>7</v>
      </c>
      <c r="M41">
        <f t="shared" si="6"/>
        <v>6</v>
      </c>
      <c r="N41">
        <f t="shared" si="7"/>
        <v>53</v>
      </c>
      <c r="O41">
        <f t="shared" si="7"/>
        <v>53</v>
      </c>
      <c r="P41">
        <f t="shared" si="7"/>
        <v>53</v>
      </c>
      <c r="Q41">
        <f t="shared" si="7"/>
        <v>53</v>
      </c>
      <c r="R41">
        <f t="shared" si="7"/>
        <v>53</v>
      </c>
      <c r="S41">
        <f t="shared" si="7"/>
        <v>53</v>
      </c>
      <c r="T41">
        <f t="shared" si="7"/>
        <v>53</v>
      </c>
      <c r="U41">
        <f t="shared" si="7"/>
        <v>53</v>
      </c>
      <c r="V41">
        <f t="shared" si="7"/>
        <v>53</v>
      </c>
      <c r="W41">
        <f t="shared" si="7"/>
        <v>52</v>
      </c>
    </row>
    <row r="42" spans="1:23" x14ac:dyDescent="0.3">
      <c r="A42" s="1">
        <f t="shared" si="5"/>
        <v>42735</v>
      </c>
      <c r="B42">
        <v>48</v>
      </c>
      <c r="C42" s="2">
        <f t="shared" si="2"/>
        <v>42735</v>
      </c>
      <c r="D42">
        <f t="shared" si="6"/>
        <v>7</v>
      </c>
      <c r="E42">
        <f t="shared" si="6"/>
        <v>6</v>
      </c>
      <c r="F42">
        <f t="shared" si="6"/>
        <v>5</v>
      </c>
      <c r="G42">
        <f t="shared" si="6"/>
        <v>6</v>
      </c>
      <c r="H42">
        <f t="shared" si="6"/>
        <v>5</v>
      </c>
      <c r="I42">
        <f t="shared" si="6"/>
        <v>4</v>
      </c>
      <c r="J42">
        <f t="shared" si="6"/>
        <v>3</v>
      </c>
      <c r="K42">
        <f t="shared" si="6"/>
        <v>2</v>
      </c>
      <c r="L42">
        <f t="shared" si="6"/>
        <v>1</v>
      </c>
      <c r="M42">
        <f t="shared" si="6"/>
        <v>7</v>
      </c>
      <c r="N42">
        <f t="shared" si="7"/>
        <v>53</v>
      </c>
      <c r="O42">
        <f t="shared" si="7"/>
        <v>53</v>
      </c>
      <c r="P42">
        <f t="shared" si="7"/>
        <v>53</v>
      </c>
      <c r="Q42">
        <f t="shared" si="7"/>
        <v>53</v>
      </c>
      <c r="R42">
        <f t="shared" si="7"/>
        <v>53</v>
      </c>
      <c r="S42">
        <f t="shared" si="7"/>
        <v>53</v>
      </c>
      <c r="T42">
        <f t="shared" si="7"/>
        <v>53</v>
      </c>
      <c r="U42">
        <f t="shared" si="7"/>
        <v>54</v>
      </c>
      <c r="V42">
        <f t="shared" si="7"/>
        <v>53</v>
      </c>
      <c r="W42">
        <f t="shared" si="7"/>
        <v>52</v>
      </c>
    </row>
    <row r="43" spans="1:23" x14ac:dyDescent="0.3">
      <c r="A43" s="1">
        <f t="shared" si="5"/>
        <v>42736</v>
      </c>
      <c r="B43">
        <v>47</v>
      </c>
      <c r="C43" s="2">
        <f t="shared" si="2"/>
        <v>42736</v>
      </c>
      <c r="D43">
        <f t="shared" si="6"/>
        <v>1</v>
      </c>
      <c r="E43">
        <f t="shared" si="6"/>
        <v>7</v>
      </c>
      <c r="F43">
        <f t="shared" si="6"/>
        <v>6</v>
      </c>
      <c r="G43">
        <f t="shared" si="6"/>
        <v>7</v>
      </c>
      <c r="H43">
        <f t="shared" si="6"/>
        <v>6</v>
      </c>
      <c r="I43">
        <f t="shared" si="6"/>
        <v>5</v>
      </c>
      <c r="J43">
        <f t="shared" si="6"/>
        <v>4</v>
      </c>
      <c r="K43">
        <f t="shared" si="6"/>
        <v>3</v>
      </c>
      <c r="L43">
        <f t="shared" si="6"/>
        <v>2</v>
      </c>
      <c r="M43">
        <f t="shared" si="6"/>
        <v>1</v>
      </c>
      <c r="N43">
        <f t="shared" si="7"/>
        <v>1</v>
      </c>
      <c r="O43">
        <f t="shared" si="7"/>
        <v>1</v>
      </c>
      <c r="P43">
        <f t="shared" si="7"/>
        <v>1</v>
      </c>
      <c r="Q43">
        <f t="shared" si="7"/>
        <v>1</v>
      </c>
      <c r="R43">
        <f t="shared" si="7"/>
        <v>1</v>
      </c>
      <c r="S43">
        <f t="shared" si="7"/>
        <v>1</v>
      </c>
      <c r="T43">
        <f t="shared" si="7"/>
        <v>1</v>
      </c>
      <c r="U43">
        <f t="shared" si="7"/>
        <v>1</v>
      </c>
      <c r="V43">
        <f t="shared" si="7"/>
        <v>1</v>
      </c>
      <c r="W43">
        <f t="shared" si="7"/>
        <v>52</v>
      </c>
    </row>
    <row r="44" spans="1:23" x14ac:dyDescent="0.3">
      <c r="A44" s="1">
        <f t="shared" si="5"/>
        <v>42737</v>
      </c>
      <c r="B44">
        <v>42</v>
      </c>
      <c r="C44" s="2">
        <f t="shared" si="2"/>
        <v>42737</v>
      </c>
      <c r="D44">
        <f t="shared" si="6"/>
        <v>2</v>
      </c>
      <c r="E44">
        <f t="shared" si="6"/>
        <v>1</v>
      </c>
      <c r="F44">
        <f t="shared" si="6"/>
        <v>0</v>
      </c>
      <c r="G44">
        <f t="shared" si="6"/>
        <v>1</v>
      </c>
      <c r="H44">
        <f t="shared" si="6"/>
        <v>7</v>
      </c>
      <c r="I44">
        <f t="shared" si="6"/>
        <v>6</v>
      </c>
      <c r="J44">
        <f t="shared" si="6"/>
        <v>5</v>
      </c>
      <c r="K44">
        <f t="shared" si="6"/>
        <v>4</v>
      </c>
      <c r="L44">
        <f t="shared" si="6"/>
        <v>3</v>
      </c>
      <c r="M44">
        <f t="shared" si="6"/>
        <v>2</v>
      </c>
      <c r="N44">
        <f t="shared" si="7"/>
        <v>1</v>
      </c>
      <c r="O44">
        <f t="shared" si="7"/>
        <v>2</v>
      </c>
      <c r="P44">
        <f t="shared" si="7"/>
        <v>2</v>
      </c>
      <c r="Q44">
        <f t="shared" si="7"/>
        <v>1</v>
      </c>
      <c r="R44">
        <f t="shared" si="7"/>
        <v>1</v>
      </c>
      <c r="S44">
        <f t="shared" si="7"/>
        <v>1</v>
      </c>
      <c r="T44">
        <f t="shared" si="7"/>
        <v>1</v>
      </c>
      <c r="U44">
        <f t="shared" si="7"/>
        <v>1</v>
      </c>
      <c r="V44">
        <f t="shared" si="7"/>
        <v>1</v>
      </c>
      <c r="W44">
        <f t="shared" si="7"/>
        <v>1</v>
      </c>
    </row>
    <row r="45" spans="1:23" x14ac:dyDescent="0.3">
      <c r="A45" s="1">
        <f t="shared" si="5"/>
        <v>42738</v>
      </c>
      <c r="B45">
        <v>34</v>
      </c>
      <c r="C45" s="2">
        <f t="shared" si="2"/>
        <v>42738</v>
      </c>
      <c r="D45">
        <f t="shared" si="6"/>
        <v>3</v>
      </c>
      <c r="E45">
        <f t="shared" si="6"/>
        <v>2</v>
      </c>
      <c r="F45">
        <f t="shared" si="6"/>
        <v>1</v>
      </c>
      <c r="G45">
        <f t="shared" si="6"/>
        <v>2</v>
      </c>
      <c r="H45">
        <f t="shared" si="6"/>
        <v>1</v>
      </c>
      <c r="I45">
        <f t="shared" si="6"/>
        <v>7</v>
      </c>
      <c r="J45">
        <f t="shared" si="6"/>
        <v>6</v>
      </c>
      <c r="K45">
        <f t="shared" si="6"/>
        <v>5</v>
      </c>
      <c r="L45">
        <f t="shared" si="6"/>
        <v>4</v>
      </c>
      <c r="M45">
        <f t="shared" si="6"/>
        <v>3</v>
      </c>
      <c r="N45">
        <f t="shared" si="7"/>
        <v>1</v>
      </c>
      <c r="O45">
        <f t="shared" si="7"/>
        <v>2</v>
      </c>
      <c r="P45">
        <f t="shared" si="7"/>
        <v>2</v>
      </c>
      <c r="Q45">
        <f t="shared" si="7"/>
        <v>2</v>
      </c>
      <c r="R45">
        <f t="shared" si="7"/>
        <v>1</v>
      </c>
      <c r="S45">
        <f t="shared" si="7"/>
        <v>1</v>
      </c>
      <c r="T45">
        <f t="shared" si="7"/>
        <v>1</v>
      </c>
      <c r="U45">
        <f t="shared" si="7"/>
        <v>1</v>
      </c>
      <c r="V45">
        <f t="shared" si="7"/>
        <v>1</v>
      </c>
      <c r="W45">
        <f t="shared" si="7"/>
        <v>1</v>
      </c>
    </row>
    <row r="46" spans="1:23" x14ac:dyDescent="0.3">
      <c r="A46" s="1">
        <f t="shared" si="5"/>
        <v>42739</v>
      </c>
      <c r="B46">
        <v>25</v>
      </c>
      <c r="C46" s="2">
        <f t="shared" si="2"/>
        <v>42739</v>
      </c>
      <c r="D46">
        <f t="shared" si="6"/>
        <v>4</v>
      </c>
      <c r="E46">
        <f t="shared" si="6"/>
        <v>3</v>
      </c>
      <c r="F46">
        <f t="shared" si="6"/>
        <v>2</v>
      </c>
      <c r="G46">
        <f t="shared" si="6"/>
        <v>3</v>
      </c>
      <c r="H46">
        <f t="shared" si="6"/>
        <v>2</v>
      </c>
      <c r="I46">
        <f t="shared" si="6"/>
        <v>1</v>
      </c>
      <c r="J46">
        <f t="shared" si="6"/>
        <v>7</v>
      </c>
      <c r="K46">
        <f t="shared" si="6"/>
        <v>6</v>
      </c>
      <c r="L46">
        <f t="shared" si="6"/>
        <v>5</v>
      </c>
      <c r="M46">
        <f t="shared" si="6"/>
        <v>4</v>
      </c>
      <c r="N46">
        <f t="shared" si="7"/>
        <v>1</v>
      </c>
      <c r="O46">
        <f t="shared" si="7"/>
        <v>2</v>
      </c>
      <c r="P46">
        <f t="shared" si="7"/>
        <v>2</v>
      </c>
      <c r="Q46">
        <f t="shared" si="7"/>
        <v>2</v>
      </c>
      <c r="R46">
        <f t="shared" si="7"/>
        <v>2</v>
      </c>
      <c r="S46">
        <f t="shared" si="7"/>
        <v>1</v>
      </c>
      <c r="T46">
        <f t="shared" si="7"/>
        <v>1</v>
      </c>
      <c r="U46">
        <f t="shared" si="7"/>
        <v>1</v>
      </c>
      <c r="V46">
        <f t="shared" si="7"/>
        <v>1</v>
      </c>
      <c r="W46">
        <f t="shared" si="7"/>
        <v>1</v>
      </c>
    </row>
    <row r="47" spans="1:23" x14ac:dyDescent="0.3">
      <c r="A47" s="1">
        <f t="shared" si="5"/>
        <v>42740</v>
      </c>
      <c r="B47">
        <v>42</v>
      </c>
      <c r="C47" s="2">
        <f t="shared" si="2"/>
        <v>42740</v>
      </c>
      <c r="D47">
        <f t="shared" si="6"/>
        <v>5</v>
      </c>
      <c r="E47">
        <f t="shared" si="6"/>
        <v>4</v>
      </c>
      <c r="F47">
        <f t="shared" si="6"/>
        <v>3</v>
      </c>
      <c r="G47">
        <f t="shared" si="6"/>
        <v>4</v>
      </c>
      <c r="H47">
        <f t="shared" si="6"/>
        <v>3</v>
      </c>
      <c r="I47">
        <f t="shared" si="6"/>
        <v>2</v>
      </c>
      <c r="J47">
        <f t="shared" si="6"/>
        <v>1</v>
      </c>
      <c r="K47">
        <f t="shared" si="6"/>
        <v>7</v>
      </c>
      <c r="L47">
        <f t="shared" si="6"/>
        <v>6</v>
      </c>
      <c r="M47">
        <f t="shared" si="6"/>
        <v>5</v>
      </c>
      <c r="N47">
        <f t="shared" si="7"/>
        <v>1</v>
      </c>
      <c r="O47">
        <f t="shared" si="7"/>
        <v>2</v>
      </c>
      <c r="P47">
        <f t="shared" si="7"/>
        <v>2</v>
      </c>
      <c r="Q47">
        <f t="shared" si="7"/>
        <v>2</v>
      </c>
      <c r="R47">
        <f t="shared" si="7"/>
        <v>2</v>
      </c>
      <c r="S47">
        <f t="shared" si="7"/>
        <v>2</v>
      </c>
      <c r="T47">
        <f t="shared" si="7"/>
        <v>1</v>
      </c>
      <c r="U47">
        <f t="shared" si="7"/>
        <v>1</v>
      </c>
      <c r="V47">
        <f t="shared" si="7"/>
        <v>1</v>
      </c>
      <c r="W47">
        <f t="shared" si="7"/>
        <v>1</v>
      </c>
    </row>
    <row r="48" spans="1:23" x14ac:dyDescent="0.3">
      <c r="A48" s="1">
        <f t="shared" si="5"/>
        <v>42741</v>
      </c>
      <c r="B48">
        <v>49</v>
      </c>
      <c r="C48" s="2">
        <f t="shared" si="2"/>
        <v>42741</v>
      </c>
      <c r="D48">
        <f t="shared" si="6"/>
        <v>6</v>
      </c>
      <c r="E48">
        <f t="shared" si="6"/>
        <v>5</v>
      </c>
      <c r="F48">
        <f t="shared" si="6"/>
        <v>4</v>
      </c>
      <c r="G48">
        <f t="shared" si="6"/>
        <v>5</v>
      </c>
      <c r="H48">
        <f t="shared" si="6"/>
        <v>4</v>
      </c>
      <c r="I48">
        <f t="shared" si="6"/>
        <v>3</v>
      </c>
      <c r="J48">
        <f t="shared" si="6"/>
        <v>2</v>
      </c>
      <c r="K48">
        <f t="shared" si="6"/>
        <v>1</v>
      </c>
      <c r="L48">
        <f t="shared" si="6"/>
        <v>7</v>
      </c>
      <c r="M48">
        <f t="shared" si="6"/>
        <v>6</v>
      </c>
      <c r="N48">
        <f t="shared" si="7"/>
        <v>1</v>
      </c>
      <c r="O48">
        <f t="shared" si="7"/>
        <v>2</v>
      </c>
      <c r="P48">
        <f t="shared" si="7"/>
        <v>2</v>
      </c>
      <c r="Q48">
        <f t="shared" si="7"/>
        <v>2</v>
      </c>
      <c r="R48">
        <f t="shared" si="7"/>
        <v>2</v>
      </c>
      <c r="S48">
        <f t="shared" si="7"/>
        <v>2</v>
      </c>
      <c r="T48">
        <f t="shared" si="7"/>
        <v>2</v>
      </c>
      <c r="U48">
        <f t="shared" si="7"/>
        <v>1</v>
      </c>
      <c r="V48">
        <f t="shared" si="7"/>
        <v>1</v>
      </c>
      <c r="W48">
        <f t="shared" si="7"/>
        <v>1</v>
      </c>
    </row>
    <row r="49" spans="1:23" x14ac:dyDescent="0.3">
      <c r="A49" s="1">
        <f t="shared" si="5"/>
        <v>42742</v>
      </c>
      <c r="B49">
        <v>45</v>
      </c>
      <c r="C49" s="2">
        <f t="shared" si="2"/>
        <v>42742</v>
      </c>
      <c r="D49">
        <f t="shared" si="6"/>
        <v>7</v>
      </c>
      <c r="E49">
        <f t="shared" si="6"/>
        <v>6</v>
      </c>
      <c r="F49">
        <f t="shared" si="6"/>
        <v>5</v>
      </c>
      <c r="G49">
        <f t="shared" si="6"/>
        <v>6</v>
      </c>
      <c r="H49">
        <f t="shared" si="6"/>
        <v>5</v>
      </c>
      <c r="I49">
        <f t="shared" si="6"/>
        <v>4</v>
      </c>
      <c r="J49">
        <f t="shared" si="6"/>
        <v>3</v>
      </c>
      <c r="K49">
        <f t="shared" si="6"/>
        <v>2</v>
      </c>
      <c r="L49">
        <f t="shared" si="6"/>
        <v>1</v>
      </c>
      <c r="M49">
        <f t="shared" si="6"/>
        <v>7</v>
      </c>
      <c r="N49">
        <f t="shared" si="7"/>
        <v>1</v>
      </c>
      <c r="O49">
        <f t="shared" si="7"/>
        <v>2</v>
      </c>
      <c r="P49">
        <f t="shared" si="7"/>
        <v>2</v>
      </c>
      <c r="Q49">
        <f t="shared" si="7"/>
        <v>2</v>
      </c>
      <c r="R49">
        <f t="shared" si="7"/>
        <v>2</v>
      </c>
      <c r="S49">
        <f t="shared" si="7"/>
        <v>2</v>
      </c>
      <c r="T49">
        <f t="shared" si="7"/>
        <v>2</v>
      </c>
      <c r="U49">
        <f t="shared" si="7"/>
        <v>2</v>
      </c>
      <c r="V49">
        <f t="shared" si="7"/>
        <v>1</v>
      </c>
      <c r="W49">
        <f t="shared" si="7"/>
        <v>1</v>
      </c>
    </row>
    <row r="50" spans="1:23" x14ac:dyDescent="0.3">
      <c r="A50" s="1">
        <f t="shared" si="5"/>
        <v>42743</v>
      </c>
      <c r="B50">
        <v>40</v>
      </c>
      <c r="C50" s="2">
        <f t="shared" si="2"/>
        <v>42743</v>
      </c>
      <c r="D50">
        <f t="shared" si="6"/>
        <v>1</v>
      </c>
      <c r="E50">
        <f t="shared" si="6"/>
        <v>7</v>
      </c>
      <c r="F50">
        <f t="shared" si="6"/>
        <v>6</v>
      </c>
      <c r="G50">
        <f t="shared" si="6"/>
        <v>7</v>
      </c>
      <c r="H50">
        <f t="shared" si="6"/>
        <v>6</v>
      </c>
      <c r="I50">
        <f t="shared" si="6"/>
        <v>5</v>
      </c>
      <c r="J50">
        <f t="shared" si="6"/>
        <v>4</v>
      </c>
      <c r="K50">
        <f t="shared" si="6"/>
        <v>3</v>
      </c>
      <c r="L50">
        <f t="shared" si="6"/>
        <v>2</v>
      </c>
      <c r="M50">
        <f t="shared" si="6"/>
        <v>1</v>
      </c>
      <c r="N50">
        <f t="shared" si="7"/>
        <v>2</v>
      </c>
      <c r="O50">
        <f t="shared" si="7"/>
        <v>2</v>
      </c>
      <c r="P50">
        <f t="shared" si="7"/>
        <v>2</v>
      </c>
      <c r="Q50">
        <f t="shared" si="7"/>
        <v>2</v>
      </c>
      <c r="R50">
        <f t="shared" si="7"/>
        <v>2</v>
      </c>
      <c r="S50">
        <f t="shared" si="7"/>
        <v>2</v>
      </c>
      <c r="T50">
        <f t="shared" si="7"/>
        <v>2</v>
      </c>
      <c r="U50">
        <f t="shared" si="7"/>
        <v>2</v>
      </c>
      <c r="V50">
        <f t="shared" si="7"/>
        <v>2</v>
      </c>
      <c r="W50">
        <f t="shared" si="7"/>
        <v>1</v>
      </c>
    </row>
    <row r="51" spans="1:23" x14ac:dyDescent="0.3">
      <c r="A51" s="1">
        <f t="shared" si="5"/>
        <v>42744</v>
      </c>
      <c r="B51">
        <v>26</v>
      </c>
      <c r="C51" s="2">
        <f t="shared" si="2"/>
        <v>42744</v>
      </c>
      <c r="D51">
        <f t="shared" si="6"/>
        <v>2</v>
      </c>
      <c r="E51">
        <f t="shared" si="6"/>
        <v>1</v>
      </c>
      <c r="F51">
        <f t="shared" si="6"/>
        <v>0</v>
      </c>
      <c r="G51">
        <f t="shared" si="6"/>
        <v>1</v>
      </c>
      <c r="H51">
        <f t="shared" si="6"/>
        <v>7</v>
      </c>
      <c r="I51">
        <f t="shared" si="6"/>
        <v>6</v>
      </c>
      <c r="J51">
        <f t="shared" si="6"/>
        <v>5</v>
      </c>
      <c r="K51">
        <f t="shared" si="6"/>
        <v>4</v>
      </c>
      <c r="L51">
        <f t="shared" si="6"/>
        <v>3</v>
      </c>
      <c r="M51">
        <f t="shared" si="6"/>
        <v>2</v>
      </c>
      <c r="N51">
        <f t="shared" si="7"/>
        <v>2</v>
      </c>
      <c r="O51">
        <f t="shared" si="7"/>
        <v>3</v>
      </c>
      <c r="P51">
        <f t="shared" si="7"/>
        <v>3</v>
      </c>
      <c r="Q51">
        <f t="shared" si="7"/>
        <v>2</v>
      </c>
      <c r="R51">
        <f t="shared" si="7"/>
        <v>2</v>
      </c>
      <c r="S51">
        <f t="shared" si="7"/>
        <v>2</v>
      </c>
      <c r="T51">
        <f t="shared" si="7"/>
        <v>2</v>
      </c>
      <c r="U51">
        <f t="shared" si="7"/>
        <v>2</v>
      </c>
      <c r="V51">
        <f t="shared" si="7"/>
        <v>2</v>
      </c>
      <c r="W51">
        <f t="shared" si="7"/>
        <v>2</v>
      </c>
    </row>
    <row r="52" spans="1:23" x14ac:dyDescent="0.3">
      <c r="A52" s="1">
        <f t="shared" si="5"/>
        <v>42745</v>
      </c>
      <c r="B52">
        <v>40</v>
      </c>
      <c r="C52" s="2">
        <f t="shared" si="2"/>
        <v>42745</v>
      </c>
      <c r="D52">
        <f t="shared" si="6"/>
        <v>3</v>
      </c>
      <c r="E52">
        <f t="shared" si="6"/>
        <v>2</v>
      </c>
      <c r="F52">
        <f t="shared" si="6"/>
        <v>1</v>
      </c>
      <c r="G52">
        <f t="shared" si="6"/>
        <v>2</v>
      </c>
      <c r="H52">
        <f t="shared" si="6"/>
        <v>1</v>
      </c>
      <c r="I52">
        <f t="shared" si="6"/>
        <v>7</v>
      </c>
      <c r="J52">
        <f t="shared" si="6"/>
        <v>6</v>
      </c>
      <c r="K52">
        <f t="shared" si="6"/>
        <v>5</v>
      </c>
      <c r="L52">
        <f t="shared" si="6"/>
        <v>4</v>
      </c>
      <c r="M52">
        <f t="shared" si="6"/>
        <v>3</v>
      </c>
      <c r="N52">
        <f t="shared" si="7"/>
        <v>2</v>
      </c>
      <c r="O52">
        <f t="shared" si="7"/>
        <v>3</v>
      </c>
      <c r="P52">
        <f t="shared" si="7"/>
        <v>3</v>
      </c>
      <c r="Q52">
        <f t="shared" si="7"/>
        <v>3</v>
      </c>
      <c r="R52">
        <f t="shared" si="7"/>
        <v>2</v>
      </c>
      <c r="S52">
        <f t="shared" si="7"/>
        <v>2</v>
      </c>
      <c r="T52">
        <f t="shared" si="7"/>
        <v>2</v>
      </c>
      <c r="U52">
        <f t="shared" si="7"/>
        <v>2</v>
      </c>
      <c r="V52">
        <f t="shared" si="7"/>
        <v>2</v>
      </c>
      <c r="W52">
        <f t="shared" si="7"/>
        <v>2</v>
      </c>
    </row>
    <row r="53" spans="1:23" x14ac:dyDescent="0.3">
      <c r="A53" s="1">
        <f t="shared" si="5"/>
        <v>42746</v>
      </c>
      <c r="B53">
        <v>26</v>
      </c>
      <c r="C53" s="2">
        <f t="shared" si="2"/>
        <v>42746</v>
      </c>
      <c r="D53">
        <f t="shared" si="6"/>
        <v>4</v>
      </c>
      <c r="E53">
        <f t="shared" si="6"/>
        <v>3</v>
      </c>
      <c r="F53">
        <f t="shared" si="6"/>
        <v>2</v>
      </c>
      <c r="G53">
        <f t="shared" si="6"/>
        <v>3</v>
      </c>
      <c r="H53">
        <f t="shared" si="6"/>
        <v>2</v>
      </c>
      <c r="I53">
        <f t="shared" si="6"/>
        <v>1</v>
      </c>
      <c r="J53">
        <f t="shared" si="6"/>
        <v>7</v>
      </c>
      <c r="K53">
        <f t="shared" si="6"/>
        <v>6</v>
      </c>
      <c r="L53">
        <f t="shared" si="6"/>
        <v>5</v>
      </c>
      <c r="M53">
        <f t="shared" si="6"/>
        <v>4</v>
      </c>
      <c r="N53">
        <f t="shared" si="7"/>
        <v>2</v>
      </c>
      <c r="O53">
        <f t="shared" si="7"/>
        <v>3</v>
      </c>
      <c r="P53">
        <f t="shared" si="7"/>
        <v>3</v>
      </c>
      <c r="Q53">
        <f t="shared" si="7"/>
        <v>3</v>
      </c>
      <c r="R53">
        <f t="shared" si="7"/>
        <v>3</v>
      </c>
      <c r="S53">
        <f t="shared" si="7"/>
        <v>2</v>
      </c>
      <c r="T53">
        <f t="shared" si="7"/>
        <v>2</v>
      </c>
      <c r="U53">
        <f t="shared" si="7"/>
        <v>2</v>
      </c>
      <c r="V53">
        <f t="shared" si="7"/>
        <v>2</v>
      </c>
      <c r="W53">
        <f t="shared" si="7"/>
        <v>2</v>
      </c>
    </row>
    <row r="54" spans="1:23" x14ac:dyDescent="0.3">
      <c r="A54" s="1">
        <f t="shared" si="5"/>
        <v>42747</v>
      </c>
      <c r="B54">
        <v>26</v>
      </c>
      <c r="C54" s="2">
        <f t="shared" si="2"/>
        <v>42747</v>
      </c>
      <c r="D54">
        <f t="shared" si="6"/>
        <v>5</v>
      </c>
      <c r="E54">
        <f t="shared" si="6"/>
        <v>4</v>
      </c>
      <c r="F54">
        <f t="shared" si="6"/>
        <v>3</v>
      </c>
      <c r="G54">
        <f t="shared" si="6"/>
        <v>4</v>
      </c>
      <c r="H54">
        <f t="shared" si="6"/>
        <v>3</v>
      </c>
      <c r="I54">
        <f t="shared" si="6"/>
        <v>2</v>
      </c>
      <c r="J54">
        <f t="shared" si="6"/>
        <v>1</v>
      </c>
      <c r="K54">
        <f t="shared" si="6"/>
        <v>7</v>
      </c>
      <c r="L54">
        <f t="shared" si="6"/>
        <v>6</v>
      </c>
      <c r="M54">
        <f t="shared" si="6"/>
        <v>5</v>
      </c>
      <c r="N54">
        <f t="shared" si="7"/>
        <v>2</v>
      </c>
      <c r="O54">
        <f t="shared" si="7"/>
        <v>3</v>
      </c>
      <c r="P54">
        <f t="shared" si="7"/>
        <v>3</v>
      </c>
      <c r="Q54">
        <f t="shared" si="7"/>
        <v>3</v>
      </c>
      <c r="R54">
        <f t="shared" si="7"/>
        <v>3</v>
      </c>
      <c r="S54">
        <f t="shared" si="7"/>
        <v>3</v>
      </c>
      <c r="T54">
        <f t="shared" si="7"/>
        <v>2</v>
      </c>
      <c r="U54">
        <f t="shared" si="7"/>
        <v>2</v>
      </c>
      <c r="V54">
        <f t="shared" si="7"/>
        <v>2</v>
      </c>
      <c r="W54">
        <f t="shared" si="7"/>
        <v>2</v>
      </c>
    </row>
    <row r="55" spans="1:23" x14ac:dyDescent="0.3">
      <c r="A55" s="1">
        <f t="shared" si="5"/>
        <v>42748</v>
      </c>
      <c r="B55">
        <v>50</v>
      </c>
      <c r="C55" s="2">
        <f t="shared" si="2"/>
        <v>42748</v>
      </c>
      <c r="D55">
        <f t="shared" si="6"/>
        <v>6</v>
      </c>
      <c r="E55">
        <f t="shared" si="6"/>
        <v>5</v>
      </c>
      <c r="F55">
        <f t="shared" si="6"/>
        <v>4</v>
      </c>
      <c r="G55">
        <f t="shared" si="6"/>
        <v>5</v>
      </c>
      <c r="H55">
        <f t="shared" si="6"/>
        <v>4</v>
      </c>
      <c r="I55">
        <f t="shared" si="6"/>
        <v>3</v>
      </c>
      <c r="J55">
        <f t="shared" si="6"/>
        <v>2</v>
      </c>
      <c r="K55">
        <f t="shared" si="6"/>
        <v>1</v>
      </c>
      <c r="L55">
        <f t="shared" si="6"/>
        <v>7</v>
      </c>
      <c r="M55">
        <f t="shared" si="6"/>
        <v>6</v>
      </c>
      <c r="N55">
        <f t="shared" si="7"/>
        <v>2</v>
      </c>
      <c r="O55">
        <f t="shared" si="7"/>
        <v>3</v>
      </c>
      <c r="P55">
        <f t="shared" si="7"/>
        <v>3</v>
      </c>
      <c r="Q55">
        <f t="shared" si="7"/>
        <v>3</v>
      </c>
      <c r="R55">
        <f t="shared" si="7"/>
        <v>3</v>
      </c>
      <c r="S55">
        <f t="shared" si="7"/>
        <v>3</v>
      </c>
      <c r="T55">
        <f t="shared" si="7"/>
        <v>3</v>
      </c>
      <c r="U55">
        <f t="shared" si="7"/>
        <v>2</v>
      </c>
      <c r="V55">
        <f t="shared" si="7"/>
        <v>2</v>
      </c>
      <c r="W55">
        <f t="shared" si="7"/>
        <v>2</v>
      </c>
    </row>
    <row r="56" spans="1:23" x14ac:dyDescent="0.3">
      <c r="A56" s="1">
        <f t="shared" si="5"/>
        <v>42749</v>
      </c>
      <c r="B56">
        <v>29</v>
      </c>
      <c r="C56" s="2">
        <f t="shared" si="2"/>
        <v>42749</v>
      </c>
      <c r="D56">
        <f t="shared" si="6"/>
        <v>7</v>
      </c>
      <c r="E56">
        <f t="shared" si="6"/>
        <v>6</v>
      </c>
      <c r="F56">
        <f t="shared" si="6"/>
        <v>5</v>
      </c>
      <c r="G56">
        <f t="shared" si="6"/>
        <v>6</v>
      </c>
      <c r="H56">
        <f t="shared" si="6"/>
        <v>5</v>
      </c>
      <c r="I56">
        <f t="shared" si="6"/>
        <v>4</v>
      </c>
      <c r="J56">
        <f t="shared" si="6"/>
        <v>3</v>
      </c>
      <c r="K56">
        <f t="shared" si="6"/>
        <v>2</v>
      </c>
      <c r="L56">
        <f t="shared" si="6"/>
        <v>1</v>
      </c>
      <c r="M56">
        <f t="shared" si="6"/>
        <v>7</v>
      </c>
      <c r="N56">
        <f t="shared" si="7"/>
        <v>2</v>
      </c>
      <c r="O56">
        <f t="shared" si="7"/>
        <v>3</v>
      </c>
      <c r="P56">
        <f t="shared" si="7"/>
        <v>3</v>
      </c>
      <c r="Q56">
        <f t="shared" si="7"/>
        <v>3</v>
      </c>
      <c r="R56">
        <f t="shared" si="7"/>
        <v>3</v>
      </c>
      <c r="S56">
        <f t="shared" si="7"/>
        <v>3</v>
      </c>
      <c r="T56">
        <f t="shared" si="7"/>
        <v>3</v>
      </c>
      <c r="U56">
        <f t="shared" si="7"/>
        <v>3</v>
      </c>
      <c r="V56">
        <f t="shared" si="7"/>
        <v>2</v>
      </c>
      <c r="W56">
        <f t="shared" si="7"/>
        <v>2</v>
      </c>
    </row>
    <row r="57" spans="1:23" x14ac:dyDescent="0.3">
      <c r="A57" s="1">
        <f t="shared" si="5"/>
        <v>42750</v>
      </c>
      <c r="B57">
        <v>46</v>
      </c>
      <c r="C57" s="2">
        <f t="shared" si="2"/>
        <v>42750</v>
      </c>
      <c r="D57">
        <f t="shared" si="6"/>
        <v>1</v>
      </c>
      <c r="E57">
        <f t="shared" si="6"/>
        <v>7</v>
      </c>
      <c r="F57">
        <f t="shared" si="6"/>
        <v>6</v>
      </c>
      <c r="G57">
        <f t="shared" si="6"/>
        <v>7</v>
      </c>
      <c r="H57">
        <f t="shared" si="6"/>
        <v>6</v>
      </c>
      <c r="I57">
        <f t="shared" si="6"/>
        <v>5</v>
      </c>
      <c r="J57">
        <f t="shared" si="6"/>
        <v>4</v>
      </c>
      <c r="K57">
        <f t="shared" si="6"/>
        <v>3</v>
      </c>
      <c r="L57">
        <f t="shared" si="6"/>
        <v>2</v>
      </c>
      <c r="M57">
        <f t="shared" si="6"/>
        <v>1</v>
      </c>
      <c r="N57">
        <f t="shared" si="7"/>
        <v>3</v>
      </c>
      <c r="O57">
        <f t="shared" si="7"/>
        <v>3</v>
      </c>
      <c r="P57">
        <f t="shared" si="7"/>
        <v>3</v>
      </c>
      <c r="Q57">
        <f t="shared" si="7"/>
        <v>3</v>
      </c>
      <c r="R57">
        <f t="shared" si="7"/>
        <v>3</v>
      </c>
      <c r="S57">
        <f t="shared" si="7"/>
        <v>3</v>
      </c>
      <c r="T57">
        <f t="shared" si="7"/>
        <v>3</v>
      </c>
      <c r="U57">
        <f t="shared" si="7"/>
        <v>3</v>
      </c>
      <c r="V57">
        <f t="shared" si="7"/>
        <v>3</v>
      </c>
      <c r="W57">
        <f t="shared" si="7"/>
        <v>2</v>
      </c>
    </row>
    <row r="58" spans="1:23" x14ac:dyDescent="0.3">
      <c r="A58" s="1">
        <f t="shared" si="5"/>
        <v>42751</v>
      </c>
      <c r="B58">
        <v>43</v>
      </c>
      <c r="C58" s="2">
        <f t="shared" si="2"/>
        <v>42751</v>
      </c>
      <c r="D58">
        <f t="shared" si="6"/>
        <v>2</v>
      </c>
      <c r="E58">
        <f t="shared" si="6"/>
        <v>1</v>
      </c>
      <c r="F58">
        <f t="shared" si="6"/>
        <v>0</v>
      </c>
      <c r="G58">
        <f t="shared" si="6"/>
        <v>1</v>
      </c>
      <c r="H58">
        <f t="shared" si="6"/>
        <v>7</v>
      </c>
      <c r="I58">
        <f t="shared" si="6"/>
        <v>6</v>
      </c>
      <c r="J58">
        <f t="shared" si="6"/>
        <v>5</v>
      </c>
      <c r="K58">
        <f t="shared" si="6"/>
        <v>4</v>
      </c>
      <c r="L58">
        <f t="shared" si="6"/>
        <v>3</v>
      </c>
      <c r="M58">
        <f t="shared" si="6"/>
        <v>2</v>
      </c>
      <c r="N58">
        <f t="shared" si="7"/>
        <v>3</v>
      </c>
      <c r="O58">
        <f t="shared" si="7"/>
        <v>4</v>
      </c>
      <c r="P58">
        <f t="shared" si="7"/>
        <v>4</v>
      </c>
      <c r="Q58">
        <f t="shared" si="7"/>
        <v>3</v>
      </c>
      <c r="R58">
        <f t="shared" si="7"/>
        <v>3</v>
      </c>
      <c r="S58">
        <f t="shared" si="7"/>
        <v>3</v>
      </c>
      <c r="T58">
        <f t="shared" si="7"/>
        <v>3</v>
      </c>
      <c r="U58">
        <f t="shared" si="7"/>
        <v>3</v>
      </c>
      <c r="V58">
        <f t="shared" si="7"/>
        <v>3</v>
      </c>
      <c r="W58">
        <f t="shared" si="7"/>
        <v>3</v>
      </c>
    </row>
    <row r="59" spans="1:23" x14ac:dyDescent="0.3">
      <c r="A59" s="1">
        <f t="shared" si="5"/>
        <v>42752</v>
      </c>
      <c r="B59">
        <v>29</v>
      </c>
      <c r="C59" s="2">
        <f t="shared" si="2"/>
        <v>42752</v>
      </c>
      <c r="D59">
        <f t="shared" si="6"/>
        <v>3</v>
      </c>
      <c r="E59">
        <f t="shared" si="6"/>
        <v>2</v>
      </c>
      <c r="F59">
        <f t="shared" si="6"/>
        <v>1</v>
      </c>
      <c r="G59">
        <f t="shared" si="6"/>
        <v>2</v>
      </c>
      <c r="H59">
        <f t="shared" si="6"/>
        <v>1</v>
      </c>
      <c r="I59">
        <f t="shared" si="6"/>
        <v>7</v>
      </c>
      <c r="J59">
        <f t="shared" si="6"/>
        <v>6</v>
      </c>
      <c r="K59">
        <f t="shared" si="6"/>
        <v>5</v>
      </c>
      <c r="L59">
        <f t="shared" si="6"/>
        <v>4</v>
      </c>
      <c r="M59">
        <f t="shared" si="6"/>
        <v>3</v>
      </c>
      <c r="N59">
        <f t="shared" si="7"/>
        <v>3</v>
      </c>
      <c r="O59">
        <f t="shared" si="7"/>
        <v>4</v>
      </c>
      <c r="P59">
        <f t="shared" si="7"/>
        <v>4</v>
      </c>
      <c r="Q59">
        <f t="shared" si="7"/>
        <v>4</v>
      </c>
      <c r="R59">
        <f t="shared" si="7"/>
        <v>3</v>
      </c>
      <c r="S59">
        <f t="shared" si="7"/>
        <v>3</v>
      </c>
      <c r="T59">
        <f t="shared" si="7"/>
        <v>3</v>
      </c>
      <c r="U59">
        <f t="shared" si="7"/>
        <v>3</v>
      </c>
      <c r="V59">
        <f t="shared" si="7"/>
        <v>3</v>
      </c>
      <c r="W59">
        <f t="shared" si="7"/>
        <v>3</v>
      </c>
    </row>
    <row r="60" spans="1:23" x14ac:dyDescent="0.3">
      <c r="A60" s="1">
        <f t="shared" si="5"/>
        <v>42753</v>
      </c>
      <c r="B60">
        <v>43</v>
      </c>
      <c r="C60" s="2">
        <f t="shared" si="2"/>
        <v>42753</v>
      </c>
      <c r="D60">
        <f t="shared" si="6"/>
        <v>4</v>
      </c>
      <c r="E60">
        <f t="shared" si="6"/>
        <v>3</v>
      </c>
      <c r="F60">
        <f t="shared" si="6"/>
        <v>2</v>
      </c>
      <c r="G60">
        <f t="shared" si="6"/>
        <v>3</v>
      </c>
      <c r="H60">
        <f t="shared" si="6"/>
        <v>2</v>
      </c>
      <c r="I60">
        <f t="shared" si="6"/>
        <v>1</v>
      </c>
      <c r="J60">
        <f t="shared" si="6"/>
        <v>7</v>
      </c>
      <c r="K60">
        <f t="shared" si="6"/>
        <v>6</v>
      </c>
      <c r="L60">
        <f t="shared" si="6"/>
        <v>5</v>
      </c>
      <c r="M60">
        <f t="shared" si="6"/>
        <v>4</v>
      </c>
      <c r="N60">
        <f t="shared" si="7"/>
        <v>3</v>
      </c>
      <c r="O60">
        <f t="shared" si="7"/>
        <v>4</v>
      </c>
      <c r="P60">
        <f t="shared" si="7"/>
        <v>4</v>
      </c>
      <c r="Q60">
        <f t="shared" si="7"/>
        <v>4</v>
      </c>
      <c r="R60">
        <f t="shared" si="7"/>
        <v>4</v>
      </c>
      <c r="S60">
        <f t="shared" si="7"/>
        <v>3</v>
      </c>
      <c r="T60">
        <f t="shared" si="7"/>
        <v>3</v>
      </c>
      <c r="U60">
        <f t="shared" si="7"/>
        <v>3</v>
      </c>
      <c r="V60">
        <f t="shared" si="7"/>
        <v>3</v>
      </c>
      <c r="W60">
        <f t="shared" si="7"/>
        <v>3</v>
      </c>
    </row>
    <row r="61" spans="1:23" x14ac:dyDescent="0.3">
      <c r="A61" s="1">
        <f t="shared" si="5"/>
        <v>42754</v>
      </c>
      <c r="B61">
        <v>46</v>
      </c>
      <c r="C61" s="2">
        <f t="shared" si="2"/>
        <v>42754</v>
      </c>
      <c r="D61">
        <f t="shared" si="6"/>
        <v>5</v>
      </c>
      <c r="E61">
        <f t="shared" si="6"/>
        <v>4</v>
      </c>
      <c r="F61">
        <f t="shared" si="6"/>
        <v>3</v>
      </c>
      <c r="G61">
        <f t="shared" si="6"/>
        <v>4</v>
      </c>
      <c r="H61">
        <f t="shared" si="6"/>
        <v>3</v>
      </c>
      <c r="I61">
        <f t="shared" si="6"/>
        <v>2</v>
      </c>
      <c r="J61">
        <f t="shared" si="6"/>
        <v>1</v>
      </c>
      <c r="K61">
        <f t="shared" si="6"/>
        <v>7</v>
      </c>
      <c r="L61">
        <f t="shared" si="6"/>
        <v>6</v>
      </c>
      <c r="M61">
        <f t="shared" si="6"/>
        <v>5</v>
      </c>
      <c r="N61">
        <f t="shared" si="7"/>
        <v>3</v>
      </c>
      <c r="O61">
        <f t="shared" si="7"/>
        <v>4</v>
      </c>
      <c r="P61">
        <f t="shared" si="7"/>
        <v>4</v>
      </c>
      <c r="Q61">
        <f t="shared" si="7"/>
        <v>4</v>
      </c>
      <c r="R61">
        <f t="shared" si="7"/>
        <v>4</v>
      </c>
      <c r="S61">
        <f t="shared" si="7"/>
        <v>4</v>
      </c>
      <c r="T61">
        <f t="shared" si="7"/>
        <v>3</v>
      </c>
      <c r="U61">
        <f t="shared" si="7"/>
        <v>3</v>
      </c>
      <c r="V61">
        <f t="shared" si="7"/>
        <v>3</v>
      </c>
      <c r="W61">
        <f t="shared" si="7"/>
        <v>3</v>
      </c>
    </row>
    <row r="62" spans="1:23" x14ac:dyDescent="0.3">
      <c r="A62" s="1">
        <f t="shared" si="5"/>
        <v>42755</v>
      </c>
      <c r="B62">
        <v>45</v>
      </c>
      <c r="C62" s="2">
        <f t="shared" si="2"/>
        <v>42755</v>
      </c>
      <c r="D62">
        <f t="shared" si="6"/>
        <v>6</v>
      </c>
      <c r="E62">
        <f t="shared" si="6"/>
        <v>5</v>
      </c>
      <c r="F62">
        <f t="shared" si="6"/>
        <v>4</v>
      </c>
      <c r="G62">
        <f t="shared" si="6"/>
        <v>5</v>
      </c>
      <c r="H62">
        <f t="shared" si="6"/>
        <v>4</v>
      </c>
      <c r="I62">
        <f t="shared" ref="E62:M63" si="8">WEEKDAY($C62,I$3)</f>
        <v>3</v>
      </c>
      <c r="J62">
        <f t="shared" si="8"/>
        <v>2</v>
      </c>
      <c r="K62">
        <f t="shared" si="8"/>
        <v>1</v>
      </c>
      <c r="L62">
        <f t="shared" si="8"/>
        <v>7</v>
      </c>
      <c r="M62">
        <f t="shared" si="8"/>
        <v>6</v>
      </c>
      <c r="N62">
        <f t="shared" si="7"/>
        <v>3</v>
      </c>
      <c r="O62">
        <f t="shared" si="7"/>
        <v>4</v>
      </c>
      <c r="P62">
        <f t="shared" si="7"/>
        <v>4</v>
      </c>
      <c r="Q62">
        <f t="shared" si="7"/>
        <v>4</v>
      </c>
      <c r="R62">
        <f t="shared" si="7"/>
        <v>4</v>
      </c>
      <c r="S62">
        <f t="shared" ref="O62:W63" si="9">WEEKNUM($C62,S$3)</f>
        <v>4</v>
      </c>
      <c r="T62">
        <f t="shared" si="9"/>
        <v>4</v>
      </c>
      <c r="U62">
        <f t="shared" si="9"/>
        <v>3</v>
      </c>
      <c r="V62">
        <f t="shared" si="9"/>
        <v>3</v>
      </c>
      <c r="W62">
        <f t="shared" si="9"/>
        <v>3</v>
      </c>
    </row>
    <row r="63" spans="1:23" x14ac:dyDescent="0.3">
      <c r="A63" s="1">
        <f t="shared" si="5"/>
        <v>42756</v>
      </c>
      <c r="B63">
        <v>46</v>
      </c>
      <c r="C63" s="2">
        <f t="shared" si="2"/>
        <v>42756</v>
      </c>
      <c r="D63">
        <f t="shared" ref="D63" si="10">WEEKDAY($C63,D$3)</f>
        <v>7</v>
      </c>
      <c r="E63">
        <f t="shared" si="8"/>
        <v>6</v>
      </c>
      <c r="F63">
        <f t="shared" si="8"/>
        <v>5</v>
      </c>
      <c r="G63">
        <f t="shared" si="8"/>
        <v>6</v>
      </c>
      <c r="H63">
        <f t="shared" si="8"/>
        <v>5</v>
      </c>
      <c r="I63">
        <f t="shared" si="8"/>
        <v>4</v>
      </c>
      <c r="J63">
        <f t="shared" si="8"/>
        <v>3</v>
      </c>
      <c r="K63">
        <f t="shared" si="8"/>
        <v>2</v>
      </c>
      <c r="L63">
        <f t="shared" si="8"/>
        <v>1</v>
      </c>
      <c r="M63">
        <f>WEEKDAY($C63,M$3)</f>
        <v>7</v>
      </c>
      <c r="N63">
        <f t="shared" ref="N63" si="11">WEEKNUM($C63,N$3)</f>
        <v>3</v>
      </c>
      <c r="O63">
        <f t="shared" si="9"/>
        <v>4</v>
      </c>
      <c r="P63">
        <f t="shared" si="9"/>
        <v>4</v>
      </c>
      <c r="Q63">
        <f t="shared" si="9"/>
        <v>4</v>
      </c>
      <c r="R63">
        <f t="shared" si="9"/>
        <v>4</v>
      </c>
      <c r="S63">
        <f t="shared" si="9"/>
        <v>4</v>
      </c>
      <c r="T63">
        <f t="shared" si="9"/>
        <v>4</v>
      </c>
      <c r="U63">
        <f t="shared" si="9"/>
        <v>4</v>
      </c>
      <c r="V63">
        <f t="shared" si="9"/>
        <v>3</v>
      </c>
      <c r="W63">
        <f t="shared" si="9"/>
        <v>3</v>
      </c>
    </row>
    <row r="64" spans="1:23" x14ac:dyDescent="0.3">
      <c r="A64" s="1"/>
    </row>
    <row r="66" spans="1:3" x14ac:dyDescent="0.3">
      <c r="A66" s="1"/>
    </row>
    <row r="68" spans="1:3" x14ac:dyDescent="0.3">
      <c r="C68" t="s">
        <v>115</v>
      </c>
    </row>
    <row r="69" spans="1:3" x14ac:dyDescent="0.3">
      <c r="C69" t="s">
        <v>80</v>
      </c>
    </row>
    <row r="70" spans="1:3" x14ac:dyDescent="0.3">
      <c r="C70" t="s">
        <v>81</v>
      </c>
    </row>
  </sheetData>
  <sheetProtection algorithmName="SHA-512" hashValue="ydWH2mtd5PEWW6dMZImM+uFg54rjg20JRYoBdX0LZqyFb6H3/Q2UefkT48oSY3A2A7RAYukjOjTfyFMQmJS1QA==" saltValue="xN4e0nXVJdYK02y+N2vaNQ==" spinCount="100000" sheet="1" objects="1" scenarios="1" selectLockedCells="1" selectUnlockedCells="1"/>
  <autoFilter ref="A3:W63"/>
  <mergeCells count="2">
    <mergeCell ref="D1:M1"/>
    <mergeCell ref="N1:W1"/>
  </mergeCells>
  <conditionalFormatting sqref="A4:A63">
    <cfRule type="expression" dxfId="2" priority="1" stopIfTrue="1">
      <formula>$A4&lt;TODAY()-180</formula>
    </cfRule>
  </conditionalFormatting>
  <conditionalFormatting sqref="A4:B63">
    <cfRule type="expression" dxfId="1" priority="2">
      <formula>AND($D4=1,$B4&gt;35)</formula>
    </cfRule>
    <cfRule type="expression" dxfId="0" priority="3">
      <formula>AND($D4=7,$B4&gt;40)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showGridLines="0" workbookViewId="0">
      <selection activeCell="J11" sqref="J11"/>
    </sheetView>
  </sheetViews>
  <sheetFormatPr defaultColWidth="11.5546875" defaultRowHeight="14.4" x14ac:dyDescent="0.3"/>
  <cols>
    <col min="1" max="1" width="6.33203125" customWidth="1"/>
    <col min="2" max="3" width="14.109375" customWidth="1"/>
    <col min="4" max="5" width="18.33203125" customWidth="1"/>
    <col min="6" max="7" width="15.44140625" customWidth="1"/>
    <col min="8" max="8" width="18.33203125" customWidth="1"/>
    <col min="9" max="9" width="15.109375" customWidth="1"/>
    <col min="10" max="10" width="11.6640625" customWidth="1"/>
    <col min="11" max="11" width="11.88671875" customWidth="1"/>
    <col min="12" max="12" width="11.6640625" customWidth="1"/>
    <col min="13" max="17" width="11.88671875" customWidth="1"/>
    <col min="18" max="18" width="11.6640625" customWidth="1"/>
    <col min="19" max="20" width="11.88671875" customWidth="1"/>
    <col min="21" max="21" width="11.6640625" customWidth="1"/>
    <col min="22" max="24" width="11.88671875" customWidth="1"/>
  </cols>
  <sheetData>
    <row r="1" spans="1:24" s="25" customFormat="1" ht="34.200000000000003" customHeight="1" x14ac:dyDescent="0.3">
      <c r="A1" s="25" t="s">
        <v>49</v>
      </c>
      <c r="B1" s="25" t="s">
        <v>25</v>
      </c>
      <c r="C1" s="25" t="s">
        <v>76</v>
      </c>
      <c r="D1" s="25" t="s">
        <v>99</v>
      </c>
      <c r="E1" s="25" t="s">
        <v>89</v>
      </c>
      <c r="F1" s="25" t="s">
        <v>92</v>
      </c>
      <c r="G1" s="25" t="s">
        <v>101</v>
      </c>
      <c r="H1" s="25" t="s">
        <v>98</v>
      </c>
      <c r="I1" s="25" t="s">
        <v>84</v>
      </c>
      <c r="J1" s="32" t="s">
        <v>26</v>
      </c>
      <c r="K1" s="32" t="s">
        <v>27</v>
      </c>
      <c r="L1" s="32" t="s">
        <v>28</v>
      </c>
      <c r="M1" s="32" t="s">
        <v>29</v>
      </c>
      <c r="N1" s="32" t="s">
        <v>30</v>
      </c>
      <c r="O1" s="32" t="s">
        <v>31</v>
      </c>
      <c r="P1" s="32" t="s">
        <v>32</v>
      </c>
      <c r="Q1" s="32" t="s">
        <v>33</v>
      </c>
      <c r="R1" s="32" t="s">
        <v>34</v>
      </c>
      <c r="S1" s="32" t="s">
        <v>35</v>
      </c>
      <c r="T1" s="32" t="s">
        <v>36</v>
      </c>
      <c r="U1" s="32" t="s">
        <v>37</v>
      </c>
      <c r="V1" s="32" t="s">
        <v>38</v>
      </c>
      <c r="W1" s="32" t="s">
        <v>39</v>
      </c>
      <c r="X1" s="32" t="s">
        <v>40</v>
      </c>
    </row>
    <row r="2" spans="1:24" x14ac:dyDescent="0.3">
      <c r="A2">
        <v>1</v>
      </c>
      <c r="B2" t="s">
        <v>41</v>
      </c>
      <c r="C2" s="30">
        <v>42016</v>
      </c>
      <c r="D2" s="30">
        <f>WORKDAY(Tabla13[[#This Row],[Contract Begin]],300)</f>
        <v>42436</v>
      </c>
      <c r="E2" s="30">
        <f>WORKDAY.INTL(Tabla13[[#This Row],[Contract Begin]],300,3)</f>
        <v>42435</v>
      </c>
      <c r="F2" s="29">
        <f>NETWORKDAYS(Tabla13[[#This Row],[Contract Begin]],Tabla13[[#This Row],[Contract End Date 
(9 months)]])</f>
        <v>301</v>
      </c>
      <c r="G2" s="29">
        <f>NETWORKDAYS.INTL(Tabla13[[#This Row],[Contract Begin]],Tabla13[[#This Row],[Contract End Date 
Int weekends]],3)</f>
        <v>300</v>
      </c>
      <c r="H2" s="30">
        <f>WORKDAY.INTL(Tabla13[[#This Row],[Contract Begin]],NETWORKDAYS.INTL(Tabla13[[#This Row],[Contract Begin]],Tabla13[[#This Row],[Contract Begin]]+300,3),3)</f>
        <v>42316</v>
      </c>
      <c r="I2" s="30">
        <v>42355</v>
      </c>
      <c r="J2" s="30">
        <v>42025</v>
      </c>
      <c r="K2" s="30">
        <v>42290</v>
      </c>
      <c r="L2" s="30">
        <v>42355</v>
      </c>
      <c r="M2" s="30">
        <v>42287</v>
      </c>
      <c r="N2" s="30">
        <v>42170</v>
      </c>
      <c r="O2" s="30">
        <v>42087</v>
      </c>
      <c r="P2" s="30">
        <v>42287</v>
      </c>
      <c r="Q2" s="30">
        <v>42342</v>
      </c>
      <c r="R2" s="30">
        <v>42281</v>
      </c>
      <c r="S2" s="30">
        <v>42240</v>
      </c>
      <c r="T2" s="30">
        <v>42313</v>
      </c>
      <c r="U2" s="30">
        <v>42221</v>
      </c>
      <c r="V2" s="30">
        <v>42051</v>
      </c>
      <c r="W2" s="30">
        <v>42016</v>
      </c>
      <c r="X2" s="30">
        <v>42078</v>
      </c>
    </row>
    <row r="3" spans="1:24" x14ac:dyDescent="0.3">
      <c r="A3">
        <v>2</v>
      </c>
      <c r="B3" t="s">
        <v>42</v>
      </c>
      <c r="C3" s="30">
        <v>42074</v>
      </c>
      <c r="D3" s="30">
        <f>WORKDAY(Tabla13[[#This Row],[Contract Begin]],300)</f>
        <v>42494</v>
      </c>
      <c r="E3" s="30">
        <f>WORKDAY.INTL(Tabla13[[#This Row],[Contract Begin]],300,3)</f>
        <v>42494</v>
      </c>
      <c r="F3" s="29">
        <f>NETWORKDAYS(Tabla13[[#This Row],[Contract Begin]],Tabla13[[#This Row],[Contract End Date 
(9 months)]])</f>
        <v>301</v>
      </c>
      <c r="G3" s="29">
        <f>NETWORKDAYS.INTL(Tabla13[[#This Row],[Contract Begin]],Tabla13[[#This Row],[Contract End Date 
Int weekends]],3)</f>
        <v>301</v>
      </c>
      <c r="H3" s="30">
        <f>WORKDAY.INTL(Tabla13[[#This Row],[Contract Begin]],NETWORKDAYS.INTL(Tabla13[[#This Row],[Contract Begin]],Tabla13[[#This Row],[Contract Begin]]+300,3),3)</f>
        <v>42375</v>
      </c>
      <c r="I3" s="30">
        <v>42319</v>
      </c>
      <c r="J3" s="30">
        <v>42194</v>
      </c>
      <c r="K3" s="30">
        <v>42279</v>
      </c>
      <c r="L3" s="30">
        <v>42319</v>
      </c>
      <c r="M3" s="30">
        <v>42148</v>
      </c>
      <c r="N3" s="30">
        <v>42074</v>
      </c>
      <c r="O3" s="30">
        <v>42226</v>
      </c>
      <c r="P3" s="30">
        <v>42208</v>
      </c>
      <c r="Q3" s="30">
        <v>42236</v>
      </c>
      <c r="R3" s="30">
        <v>42310</v>
      </c>
      <c r="S3" s="30">
        <v>42082</v>
      </c>
      <c r="T3" s="30">
        <v>42298</v>
      </c>
      <c r="U3" s="30">
        <v>42090</v>
      </c>
      <c r="V3" s="30">
        <v>42235</v>
      </c>
      <c r="W3" s="30">
        <v>42128</v>
      </c>
      <c r="X3" s="30">
        <v>42084</v>
      </c>
    </row>
    <row r="4" spans="1:24" x14ac:dyDescent="0.3">
      <c r="A4">
        <v>3</v>
      </c>
      <c r="B4" t="s">
        <v>43</v>
      </c>
      <c r="C4" s="30">
        <v>42011</v>
      </c>
      <c r="D4" s="30">
        <f>WORKDAY(Tabla13[[#This Row],[Contract Begin]],300)</f>
        <v>42431</v>
      </c>
      <c r="E4" s="30">
        <f>WORKDAY.INTL(Tabla13[[#This Row],[Contract Begin]],300,3)</f>
        <v>42431</v>
      </c>
      <c r="F4" s="29">
        <f>NETWORKDAYS(Tabla13[[#This Row],[Contract Begin]],Tabla13[[#This Row],[Contract End Date 
(9 months)]])</f>
        <v>301</v>
      </c>
      <c r="G4" s="29">
        <f>NETWORKDAYS.INTL(Tabla13[[#This Row],[Contract Begin]],Tabla13[[#This Row],[Contract End Date 
Int weekends]],3)</f>
        <v>301</v>
      </c>
      <c r="H4" s="30">
        <f>WORKDAY.INTL(Tabla13[[#This Row],[Contract Begin]],NETWORKDAYS.INTL(Tabla13[[#This Row],[Contract Begin]],Tabla13[[#This Row],[Contract Begin]]+300,3),3)</f>
        <v>42312</v>
      </c>
      <c r="I4" s="30">
        <v>42362</v>
      </c>
      <c r="J4" s="30">
        <v>42273</v>
      </c>
      <c r="K4" s="30">
        <v>42045</v>
      </c>
      <c r="L4" s="30">
        <v>42011</v>
      </c>
      <c r="M4" s="30">
        <v>42354</v>
      </c>
      <c r="N4" s="30">
        <v>42292</v>
      </c>
      <c r="O4" s="30">
        <v>42081</v>
      </c>
      <c r="P4" s="30">
        <v>42195</v>
      </c>
      <c r="Q4" s="30">
        <v>42017</v>
      </c>
      <c r="R4" s="30">
        <v>42124</v>
      </c>
      <c r="S4" s="30">
        <v>42071</v>
      </c>
      <c r="T4" s="30">
        <v>42151</v>
      </c>
      <c r="U4" s="30">
        <v>42021</v>
      </c>
      <c r="V4" s="30">
        <v>42298</v>
      </c>
      <c r="W4" s="30">
        <v>42362</v>
      </c>
      <c r="X4" s="30">
        <v>42177</v>
      </c>
    </row>
    <row r="5" spans="1:24" x14ac:dyDescent="0.3">
      <c r="A5">
        <v>4</v>
      </c>
      <c r="B5" t="s">
        <v>44</v>
      </c>
      <c r="C5" s="30">
        <v>42022</v>
      </c>
      <c r="D5" s="30">
        <f>WORKDAY(Tabla13[[#This Row],[Contract Begin]],300)</f>
        <v>42440</v>
      </c>
      <c r="E5" s="30">
        <f>WORKDAY.INTL(Tabla13[[#This Row],[Contract Begin]],300,3)</f>
        <v>42442</v>
      </c>
      <c r="F5" s="29">
        <f>NETWORKDAYS(Tabla13[[#This Row],[Contract Begin]],Tabla13[[#This Row],[Contract End Date 
(9 months)]])</f>
        <v>300</v>
      </c>
      <c r="G5" s="29">
        <f>NETWORKDAYS.INTL(Tabla13[[#This Row],[Contract Begin]],Tabla13[[#This Row],[Contract End Date 
Int weekends]],3)</f>
        <v>301</v>
      </c>
      <c r="H5" s="30">
        <f>WORKDAY.INTL(Tabla13[[#This Row],[Contract Begin]],NETWORKDAYS.INTL(Tabla13[[#This Row],[Contract Begin]],Tabla13[[#This Row],[Contract Begin]]+300,3),3)</f>
        <v>42323</v>
      </c>
      <c r="I5" s="30">
        <v>42291</v>
      </c>
      <c r="J5" s="30">
        <v>42062</v>
      </c>
      <c r="K5" s="30">
        <v>42291</v>
      </c>
      <c r="L5" s="30">
        <v>42048</v>
      </c>
      <c r="M5" s="30">
        <v>42164</v>
      </c>
      <c r="N5" s="30">
        <v>42087</v>
      </c>
      <c r="O5" s="30">
        <v>42043</v>
      </c>
      <c r="P5" s="30">
        <v>42177</v>
      </c>
      <c r="Q5" s="30">
        <v>42183</v>
      </c>
      <c r="R5" s="30">
        <v>42094</v>
      </c>
      <c r="S5" s="30">
        <v>42277</v>
      </c>
      <c r="T5" s="30">
        <v>42202</v>
      </c>
      <c r="U5" s="30">
        <v>42223</v>
      </c>
      <c r="V5" s="30">
        <v>42058</v>
      </c>
      <c r="W5" s="30">
        <v>42022</v>
      </c>
      <c r="X5" s="30">
        <v>42281</v>
      </c>
    </row>
    <row r="6" spans="1:24" x14ac:dyDescent="0.3">
      <c r="A6">
        <v>5</v>
      </c>
      <c r="B6" t="s">
        <v>45</v>
      </c>
      <c r="C6" s="30">
        <v>42021</v>
      </c>
      <c r="D6" s="30">
        <f>WORKDAY(Tabla13[[#This Row],[Contract Begin]],300)</f>
        <v>42440</v>
      </c>
      <c r="E6" s="30">
        <f>WORKDAY.INTL(Tabla13[[#This Row],[Contract Begin]],300,3)</f>
        <v>42441</v>
      </c>
      <c r="F6" s="29">
        <f>NETWORKDAYS(Tabla13[[#This Row],[Contract Begin]],Tabla13[[#This Row],[Contract End Date 
(9 months)]])</f>
        <v>300</v>
      </c>
      <c r="G6" s="29">
        <f>NETWORKDAYS.INTL(Tabla13[[#This Row],[Contract Begin]],Tabla13[[#This Row],[Contract End Date 
Int weekends]],3)</f>
        <v>301</v>
      </c>
      <c r="H6" s="30">
        <f>WORKDAY.INTL(Tabla13[[#This Row],[Contract Begin]],NETWORKDAYS.INTL(Tabla13[[#This Row],[Contract Begin]],Tabla13[[#This Row],[Contract Begin]]+300,3),3)</f>
        <v>42322</v>
      </c>
      <c r="I6" s="30">
        <v>42307</v>
      </c>
      <c r="J6" s="30">
        <v>42173</v>
      </c>
      <c r="K6" s="30">
        <v>42307</v>
      </c>
      <c r="L6" s="30">
        <v>42036</v>
      </c>
      <c r="M6" s="30">
        <v>42168</v>
      </c>
      <c r="N6" s="30">
        <v>42137</v>
      </c>
      <c r="O6" s="30">
        <v>42045</v>
      </c>
      <c r="P6" s="30">
        <v>42243</v>
      </c>
      <c r="Q6" s="30">
        <v>42213</v>
      </c>
      <c r="R6" s="30">
        <v>42263</v>
      </c>
      <c r="S6" s="30">
        <v>42122</v>
      </c>
      <c r="T6" s="30">
        <v>42065</v>
      </c>
      <c r="U6" s="30">
        <v>42189</v>
      </c>
      <c r="V6" s="30">
        <v>42021</v>
      </c>
      <c r="W6" s="30">
        <v>42240</v>
      </c>
      <c r="X6" s="30">
        <v>42222</v>
      </c>
    </row>
    <row r="7" spans="1:24" x14ac:dyDescent="0.3">
      <c r="A7">
        <v>6</v>
      </c>
      <c r="B7" t="s">
        <v>46</v>
      </c>
      <c r="C7" s="30">
        <v>42025</v>
      </c>
      <c r="D7" s="30">
        <f>WORKDAY(Tabla13[[#This Row],[Contract Begin]],300)</f>
        <v>42445</v>
      </c>
      <c r="E7" s="30">
        <f>WORKDAY.INTL(Tabla13[[#This Row],[Contract Begin]],300,3)</f>
        <v>42445</v>
      </c>
      <c r="F7" s="29">
        <f>NETWORKDAYS(Tabla13[[#This Row],[Contract Begin]],Tabla13[[#This Row],[Contract End Date 
(9 months)]])</f>
        <v>301</v>
      </c>
      <c r="G7" s="29">
        <f>NETWORKDAYS.INTL(Tabla13[[#This Row],[Contract Begin]],Tabla13[[#This Row],[Contract End Date 
Int weekends]],3)</f>
        <v>301</v>
      </c>
      <c r="H7" s="30">
        <f>WORKDAY.INTL(Tabla13[[#This Row],[Contract Begin]],NETWORKDAYS.INTL(Tabla13[[#This Row],[Contract Begin]],Tabla13[[#This Row],[Contract Begin]]+300,3),3)</f>
        <v>42326</v>
      </c>
      <c r="I7" s="30">
        <v>42349</v>
      </c>
      <c r="J7" s="30">
        <v>42025</v>
      </c>
      <c r="K7" s="30">
        <v>42317</v>
      </c>
      <c r="L7" s="30">
        <v>42048</v>
      </c>
      <c r="M7" s="30">
        <v>42203</v>
      </c>
      <c r="N7" s="30">
        <v>42221</v>
      </c>
      <c r="O7" s="30">
        <v>42145</v>
      </c>
      <c r="P7" s="30">
        <v>42206</v>
      </c>
      <c r="Q7" s="30">
        <v>42173</v>
      </c>
      <c r="R7" s="30">
        <v>42301</v>
      </c>
      <c r="S7" s="30">
        <v>42325</v>
      </c>
      <c r="T7" s="30">
        <v>42349</v>
      </c>
      <c r="U7" s="30">
        <v>42175</v>
      </c>
      <c r="V7" s="30">
        <v>42177</v>
      </c>
      <c r="W7" s="30">
        <v>42114</v>
      </c>
      <c r="X7" s="30">
        <v>42210</v>
      </c>
    </row>
    <row r="8" spans="1:24" x14ac:dyDescent="0.3">
      <c r="A8">
        <v>7</v>
      </c>
      <c r="B8" t="s">
        <v>47</v>
      </c>
      <c r="C8" s="30">
        <v>42005</v>
      </c>
      <c r="D8" s="30">
        <f>WORKDAY(Tabla13[[#This Row],[Contract Begin]],300)</f>
        <v>42425</v>
      </c>
      <c r="E8" s="30">
        <f>WORKDAY.INTL(Tabla13[[#This Row],[Contract Begin]],300,3)</f>
        <v>42425</v>
      </c>
      <c r="F8" s="29">
        <f>NETWORKDAYS(Tabla13[[#This Row],[Contract Begin]],Tabla13[[#This Row],[Contract End Date 
(9 months)]])</f>
        <v>301</v>
      </c>
      <c r="G8" s="29">
        <f>NETWORKDAYS.INTL(Tabla13[[#This Row],[Contract Begin]],Tabla13[[#This Row],[Contract End Date 
Int weekends]],3)</f>
        <v>301</v>
      </c>
      <c r="H8" s="30">
        <f>WORKDAY.INTL(Tabla13[[#This Row],[Contract Begin]],NETWORKDAYS.INTL(Tabla13[[#This Row],[Contract Begin]],Tabla13[[#This Row],[Contract Begin]]+300,3),3)</f>
        <v>42306</v>
      </c>
      <c r="I8" s="30">
        <v>42363</v>
      </c>
      <c r="J8" s="30">
        <v>42343</v>
      </c>
      <c r="K8" s="30">
        <v>42122</v>
      </c>
      <c r="L8" s="30">
        <v>42305</v>
      </c>
      <c r="M8" s="30">
        <v>42341</v>
      </c>
      <c r="N8" s="30">
        <v>42363</v>
      </c>
      <c r="O8" s="30">
        <v>42259</v>
      </c>
      <c r="P8" s="30">
        <v>42353</v>
      </c>
      <c r="Q8" s="30">
        <v>42307</v>
      </c>
      <c r="R8" s="30">
        <v>42339</v>
      </c>
      <c r="S8" s="30">
        <v>42075</v>
      </c>
      <c r="T8" s="30">
        <v>42005</v>
      </c>
      <c r="U8" s="30">
        <v>42306</v>
      </c>
      <c r="V8" s="30">
        <v>42064</v>
      </c>
      <c r="W8" s="30">
        <v>42155</v>
      </c>
      <c r="X8" s="30">
        <v>42215</v>
      </c>
    </row>
    <row r="9" spans="1:24" x14ac:dyDescent="0.3">
      <c r="A9">
        <v>8</v>
      </c>
      <c r="B9" t="s">
        <v>48</v>
      </c>
      <c r="C9" s="30">
        <v>42101</v>
      </c>
      <c r="D9" s="30">
        <f>WORKDAY(Tabla13[[#This Row],[Contract Begin]],300)</f>
        <v>42521</v>
      </c>
      <c r="E9" s="30">
        <f>WORKDAY.INTL(Tabla13[[#This Row],[Contract Begin]],300,3)</f>
        <v>42519</v>
      </c>
      <c r="F9" s="29">
        <f>NETWORKDAYS(Tabla13[[#This Row],[Contract Begin]],Tabla13[[#This Row],[Contract End Date 
(9 months)]])</f>
        <v>301</v>
      </c>
      <c r="G9" s="29">
        <f>NETWORKDAYS.INTL(Tabla13[[#This Row],[Contract Begin]],Tabla13[[#This Row],[Contract End Date 
Int weekends]],3)</f>
        <v>300</v>
      </c>
      <c r="H9" s="30">
        <f>WORKDAY.INTL(Tabla13[[#This Row],[Contract Begin]],NETWORKDAYS.INTL(Tabla13[[#This Row],[Contract Begin]],Tabla13[[#This Row],[Contract Begin]]+300,3),3)</f>
        <v>42400</v>
      </c>
      <c r="I9" s="30">
        <v>42351</v>
      </c>
      <c r="J9" s="30">
        <v>42210</v>
      </c>
      <c r="K9" s="30">
        <v>42248</v>
      </c>
      <c r="L9" s="30">
        <v>42101</v>
      </c>
      <c r="M9" s="30">
        <v>42170</v>
      </c>
      <c r="N9" s="30">
        <v>42280</v>
      </c>
      <c r="O9" s="30">
        <v>42339</v>
      </c>
      <c r="P9" s="30">
        <v>42304</v>
      </c>
      <c r="Q9" s="30">
        <v>42265</v>
      </c>
      <c r="R9" s="30">
        <v>42232</v>
      </c>
      <c r="S9" s="30">
        <v>42232</v>
      </c>
      <c r="T9" s="30">
        <v>42334</v>
      </c>
      <c r="U9" s="30">
        <v>42351</v>
      </c>
      <c r="V9" s="30">
        <v>42171</v>
      </c>
      <c r="W9" s="30">
        <v>42109</v>
      </c>
      <c r="X9" s="30">
        <v>42314</v>
      </c>
    </row>
    <row r="10" spans="1:24" x14ac:dyDescent="0.3">
      <c r="A10">
        <v>9</v>
      </c>
      <c r="B10" t="s">
        <v>50</v>
      </c>
      <c r="C10" s="30">
        <v>42011</v>
      </c>
      <c r="D10" s="30">
        <f>WORKDAY(Tabla13[[#This Row],[Contract Begin]],300)</f>
        <v>42431</v>
      </c>
      <c r="E10" s="30">
        <f>WORKDAY.INTL(Tabla13[[#This Row],[Contract Begin]],300,3)</f>
        <v>42431</v>
      </c>
      <c r="F10" s="29">
        <f>NETWORKDAYS(Tabla13[[#This Row],[Contract Begin]],Tabla13[[#This Row],[Contract End Date 
(9 months)]])</f>
        <v>301</v>
      </c>
      <c r="G10" s="29">
        <f>NETWORKDAYS.INTL(Tabla13[[#This Row],[Contract Begin]],Tabla13[[#This Row],[Contract End Date 
Int weekends]],3)</f>
        <v>301</v>
      </c>
      <c r="H10" s="30">
        <f>WORKDAY.INTL(Tabla13[[#This Row],[Contract Begin]],NETWORKDAYS.INTL(Tabla13[[#This Row],[Contract Begin]],Tabla13[[#This Row],[Contract Begin]]+300,3),3)</f>
        <v>42312</v>
      </c>
      <c r="I10" s="30">
        <v>42344</v>
      </c>
      <c r="J10" s="30">
        <v>42296</v>
      </c>
      <c r="K10" s="30">
        <v>42137</v>
      </c>
      <c r="L10" s="30">
        <v>42344</v>
      </c>
      <c r="M10" s="30">
        <v>42294</v>
      </c>
      <c r="N10" s="30">
        <v>42058</v>
      </c>
      <c r="O10" s="30">
        <v>42098</v>
      </c>
      <c r="P10" s="30">
        <v>42139</v>
      </c>
      <c r="Q10" s="30">
        <v>42039</v>
      </c>
      <c r="R10" s="30">
        <v>42173</v>
      </c>
      <c r="S10" s="30">
        <v>42149</v>
      </c>
      <c r="T10" s="30">
        <v>42093</v>
      </c>
      <c r="U10" s="30">
        <v>42011</v>
      </c>
      <c r="V10" s="30">
        <v>42330</v>
      </c>
      <c r="W10" s="30">
        <v>42142</v>
      </c>
      <c r="X10" s="30">
        <v>42224</v>
      </c>
    </row>
    <row r="11" spans="1:24" x14ac:dyDescent="0.3">
      <c r="A11">
        <v>10</v>
      </c>
      <c r="B11" t="s">
        <v>51</v>
      </c>
      <c r="C11" s="30">
        <v>42016</v>
      </c>
      <c r="D11" s="30">
        <f>WORKDAY(Tabla13[[#This Row],[Contract Begin]],300)</f>
        <v>42436</v>
      </c>
      <c r="E11" s="30">
        <f>WORKDAY.INTL(Tabla13[[#This Row],[Contract Begin]],300,3)</f>
        <v>42435</v>
      </c>
      <c r="F11" s="29">
        <f>NETWORKDAYS(Tabla13[[#This Row],[Contract Begin]],Tabla13[[#This Row],[Contract End Date 
(9 months)]])</f>
        <v>301</v>
      </c>
      <c r="G11" s="29">
        <f>NETWORKDAYS.INTL(Tabla13[[#This Row],[Contract Begin]],Tabla13[[#This Row],[Contract End Date 
Int weekends]],3)</f>
        <v>300</v>
      </c>
      <c r="H11" s="30">
        <f>WORKDAY.INTL(Tabla13[[#This Row],[Contract Begin]],NETWORKDAYS.INTL(Tabla13[[#This Row],[Contract Begin]],Tabla13[[#This Row],[Contract Begin]]+300,3),3)</f>
        <v>42316</v>
      </c>
      <c r="I11" s="30">
        <v>42361</v>
      </c>
      <c r="J11" s="30">
        <v>42295</v>
      </c>
      <c r="K11" s="30">
        <v>42016</v>
      </c>
      <c r="L11" s="30">
        <v>42171</v>
      </c>
      <c r="M11" s="30">
        <v>42242</v>
      </c>
      <c r="N11" s="30">
        <v>42357</v>
      </c>
      <c r="O11" s="30">
        <v>42018</v>
      </c>
      <c r="P11" s="30">
        <v>42334</v>
      </c>
      <c r="Q11" s="30">
        <v>42229</v>
      </c>
      <c r="R11" s="30">
        <v>42191</v>
      </c>
      <c r="S11" s="30">
        <v>42051</v>
      </c>
      <c r="T11" s="30">
        <v>42361</v>
      </c>
      <c r="U11" s="30">
        <v>42157</v>
      </c>
      <c r="V11" s="30">
        <v>42164</v>
      </c>
      <c r="W11" s="30">
        <v>42244</v>
      </c>
      <c r="X11" s="30">
        <v>42144</v>
      </c>
    </row>
    <row r="12" spans="1:24" x14ac:dyDescent="0.3">
      <c r="A12">
        <v>11</v>
      </c>
      <c r="B12" t="s">
        <v>52</v>
      </c>
      <c r="C12" s="30">
        <v>42056</v>
      </c>
      <c r="D12" s="30">
        <f>WORKDAY(Tabla13[[#This Row],[Contract Begin]],300)</f>
        <v>42475</v>
      </c>
      <c r="E12" s="30">
        <f>WORKDAY.INTL(Tabla13[[#This Row],[Contract Begin]],300,3)</f>
        <v>42476</v>
      </c>
      <c r="F12" s="29">
        <f>NETWORKDAYS(Tabla13[[#This Row],[Contract Begin]],Tabla13[[#This Row],[Contract End Date 
(9 months)]])</f>
        <v>300</v>
      </c>
      <c r="G12" s="29">
        <f>NETWORKDAYS.INTL(Tabla13[[#This Row],[Contract Begin]],Tabla13[[#This Row],[Contract End Date 
Int weekends]],3)</f>
        <v>301</v>
      </c>
      <c r="H12" s="30">
        <f>WORKDAY.INTL(Tabla13[[#This Row],[Contract Begin]],NETWORKDAYS.INTL(Tabla13[[#This Row],[Contract Begin]],Tabla13[[#This Row],[Contract Begin]]+300,3),3)</f>
        <v>42357</v>
      </c>
      <c r="I12" s="30">
        <v>42349</v>
      </c>
      <c r="J12" s="30">
        <v>42193</v>
      </c>
      <c r="K12" s="30">
        <v>42152</v>
      </c>
      <c r="L12" s="30">
        <v>42238</v>
      </c>
      <c r="M12" s="30">
        <v>42249</v>
      </c>
      <c r="N12" s="30">
        <v>42319</v>
      </c>
      <c r="O12" s="30">
        <v>42299</v>
      </c>
      <c r="P12" s="30">
        <v>42133</v>
      </c>
      <c r="Q12" s="30">
        <v>42250</v>
      </c>
      <c r="R12" s="30">
        <v>42285</v>
      </c>
      <c r="S12" s="30">
        <v>42349</v>
      </c>
      <c r="T12" s="30">
        <v>42289</v>
      </c>
      <c r="U12" s="30">
        <v>42056</v>
      </c>
      <c r="V12" s="30">
        <v>42146</v>
      </c>
      <c r="W12" s="30">
        <v>42264</v>
      </c>
      <c r="X12" s="30">
        <v>42197</v>
      </c>
    </row>
    <row r="13" spans="1:24" x14ac:dyDescent="0.3">
      <c r="A13">
        <v>12</v>
      </c>
      <c r="B13" t="s">
        <v>53</v>
      </c>
      <c r="C13" s="30">
        <v>42048</v>
      </c>
      <c r="D13" s="30">
        <f>WORKDAY(Tabla13[[#This Row],[Contract Begin]],300)</f>
        <v>42468</v>
      </c>
      <c r="E13" s="30">
        <f>WORKDAY.INTL(Tabla13[[#This Row],[Contract Begin]],300,3)</f>
        <v>42468</v>
      </c>
      <c r="F13" s="29">
        <f>NETWORKDAYS(Tabla13[[#This Row],[Contract Begin]],Tabla13[[#This Row],[Contract End Date 
(9 months)]])</f>
        <v>301</v>
      </c>
      <c r="G13" s="29">
        <f>NETWORKDAYS.INTL(Tabla13[[#This Row],[Contract Begin]],Tabla13[[#This Row],[Contract End Date 
Int weekends]],3)</f>
        <v>301</v>
      </c>
      <c r="H13" s="30">
        <f>WORKDAY.INTL(Tabla13[[#This Row],[Contract Begin]],NETWORKDAYS.INTL(Tabla13[[#This Row],[Contract Begin]],Tabla13[[#This Row],[Contract Begin]]+300,3),3)</f>
        <v>42349</v>
      </c>
      <c r="I13" s="30">
        <v>42363</v>
      </c>
      <c r="J13" s="30">
        <v>42181</v>
      </c>
      <c r="K13" s="30">
        <v>42105</v>
      </c>
      <c r="L13" s="30">
        <v>42048</v>
      </c>
      <c r="M13" s="30">
        <v>42172</v>
      </c>
      <c r="N13" s="30">
        <v>42079</v>
      </c>
      <c r="O13" s="30">
        <v>42243</v>
      </c>
      <c r="P13" s="30">
        <v>42224</v>
      </c>
      <c r="Q13" s="30">
        <v>42081</v>
      </c>
      <c r="R13" s="30">
        <v>42344</v>
      </c>
      <c r="S13" s="30">
        <v>42363</v>
      </c>
      <c r="T13" s="30">
        <v>42221</v>
      </c>
      <c r="U13" s="30">
        <v>42254</v>
      </c>
      <c r="V13" s="30">
        <v>42102</v>
      </c>
      <c r="W13" s="30">
        <v>42351</v>
      </c>
      <c r="X13" s="30">
        <v>42226</v>
      </c>
    </row>
    <row r="14" spans="1:24" x14ac:dyDescent="0.3">
      <c r="A14">
        <v>13</v>
      </c>
      <c r="B14" t="s">
        <v>54</v>
      </c>
      <c r="C14" s="30">
        <v>42026</v>
      </c>
      <c r="D14" s="30">
        <f>WORKDAY(Tabla13[[#This Row],[Contract Begin]],300)</f>
        <v>42446</v>
      </c>
      <c r="E14" s="30">
        <f>WORKDAY.INTL(Tabla13[[#This Row],[Contract Begin]],300,3)</f>
        <v>42446</v>
      </c>
      <c r="F14" s="29">
        <f>NETWORKDAYS(Tabla13[[#This Row],[Contract Begin]],Tabla13[[#This Row],[Contract End Date 
(9 months)]])</f>
        <v>301</v>
      </c>
      <c r="G14" s="29">
        <f>NETWORKDAYS.INTL(Tabla13[[#This Row],[Contract Begin]],Tabla13[[#This Row],[Contract End Date 
Int weekends]],3)</f>
        <v>301</v>
      </c>
      <c r="H14" s="30">
        <f>WORKDAY.INTL(Tabla13[[#This Row],[Contract Begin]],NETWORKDAYS.INTL(Tabla13[[#This Row],[Contract Begin]],Tabla13[[#This Row],[Contract Begin]]+300,3),3)</f>
        <v>42327</v>
      </c>
      <c r="I14" s="30">
        <v>42354</v>
      </c>
      <c r="J14" s="30">
        <v>42065</v>
      </c>
      <c r="K14" s="30">
        <v>42233</v>
      </c>
      <c r="L14" s="30">
        <v>42291</v>
      </c>
      <c r="M14" s="30">
        <v>42233</v>
      </c>
      <c r="N14" s="30">
        <v>42142</v>
      </c>
      <c r="O14" s="30">
        <v>42227</v>
      </c>
      <c r="P14" s="30">
        <v>42233</v>
      </c>
      <c r="Q14" s="30">
        <v>42146</v>
      </c>
      <c r="R14" s="30">
        <v>42354</v>
      </c>
      <c r="S14" s="30">
        <v>42285</v>
      </c>
      <c r="T14" s="30">
        <v>42146</v>
      </c>
      <c r="U14" s="30">
        <v>42026</v>
      </c>
      <c r="V14" s="30">
        <v>42067</v>
      </c>
      <c r="W14" s="30">
        <v>42334</v>
      </c>
      <c r="X14" s="30">
        <v>42303</v>
      </c>
    </row>
    <row r="15" spans="1:24" x14ac:dyDescent="0.3">
      <c r="A15">
        <v>14</v>
      </c>
      <c r="B15" t="s">
        <v>55</v>
      </c>
      <c r="C15" s="30">
        <v>42022</v>
      </c>
      <c r="D15" s="30">
        <f>WORKDAY(Tabla13[[#This Row],[Contract Begin]],300)</f>
        <v>42440</v>
      </c>
      <c r="E15" s="30">
        <f>WORKDAY.INTL(Tabla13[[#This Row],[Contract Begin]],300,3)</f>
        <v>42442</v>
      </c>
      <c r="F15" s="29">
        <f>NETWORKDAYS(Tabla13[[#This Row],[Contract Begin]],Tabla13[[#This Row],[Contract End Date 
(9 months)]])</f>
        <v>300</v>
      </c>
      <c r="G15" s="29">
        <f>NETWORKDAYS.INTL(Tabla13[[#This Row],[Contract Begin]],Tabla13[[#This Row],[Contract End Date 
Int weekends]],3)</f>
        <v>301</v>
      </c>
      <c r="H15" s="30">
        <f>WORKDAY.INTL(Tabla13[[#This Row],[Contract Begin]],NETWORKDAYS.INTL(Tabla13[[#This Row],[Contract Begin]],Tabla13[[#This Row],[Contract Begin]]+300,3),3)</f>
        <v>42323</v>
      </c>
      <c r="I15" s="30">
        <v>42339</v>
      </c>
      <c r="J15" s="30">
        <v>42255</v>
      </c>
      <c r="K15" s="30">
        <v>42251</v>
      </c>
      <c r="L15" s="30">
        <v>42312</v>
      </c>
      <c r="M15" s="30">
        <v>42329</v>
      </c>
      <c r="N15" s="30">
        <v>42083</v>
      </c>
      <c r="O15" s="30">
        <v>42129</v>
      </c>
      <c r="P15" s="30">
        <v>42060</v>
      </c>
      <c r="Q15" s="30">
        <v>42209</v>
      </c>
      <c r="R15" s="30">
        <v>42113</v>
      </c>
      <c r="S15" s="30">
        <v>42022</v>
      </c>
      <c r="T15" s="30">
        <v>42081</v>
      </c>
      <c r="U15" s="30">
        <v>42189</v>
      </c>
      <c r="V15" s="30">
        <v>42061</v>
      </c>
      <c r="W15" s="30">
        <v>42339</v>
      </c>
      <c r="X15" s="30">
        <v>42053</v>
      </c>
    </row>
    <row r="16" spans="1:24" x14ac:dyDescent="0.3">
      <c r="A16">
        <v>15</v>
      </c>
      <c r="B16" t="s">
        <v>56</v>
      </c>
      <c r="C16" s="30">
        <v>42008</v>
      </c>
      <c r="D16" s="30">
        <f>WORKDAY(Tabla13[[#This Row],[Contract Begin]],300)</f>
        <v>42426</v>
      </c>
      <c r="E16" s="30">
        <f>WORKDAY.INTL(Tabla13[[#This Row],[Contract Begin]],300,3)</f>
        <v>42428</v>
      </c>
      <c r="F16" s="29">
        <f>NETWORKDAYS(Tabla13[[#This Row],[Contract Begin]],Tabla13[[#This Row],[Contract End Date 
(9 months)]])</f>
        <v>300</v>
      </c>
      <c r="G16" s="29">
        <f>NETWORKDAYS.INTL(Tabla13[[#This Row],[Contract Begin]],Tabla13[[#This Row],[Contract End Date 
Int weekends]],3)</f>
        <v>301</v>
      </c>
      <c r="H16" s="30">
        <f>WORKDAY.INTL(Tabla13[[#This Row],[Contract Begin]],NETWORKDAYS.INTL(Tabla13[[#This Row],[Contract Begin]],Tabla13[[#This Row],[Contract Begin]]+300,3),3)</f>
        <v>42309</v>
      </c>
      <c r="I16" s="30">
        <v>42366</v>
      </c>
      <c r="J16" s="30">
        <v>42364</v>
      </c>
      <c r="K16" s="30">
        <v>42330</v>
      </c>
      <c r="L16" s="30">
        <v>42242</v>
      </c>
      <c r="M16" s="30">
        <v>42015</v>
      </c>
      <c r="N16" s="30">
        <v>42133</v>
      </c>
      <c r="O16" s="30">
        <v>42298</v>
      </c>
      <c r="P16" s="30">
        <v>42242</v>
      </c>
      <c r="Q16" s="30">
        <v>42304</v>
      </c>
      <c r="R16" s="30">
        <v>42366</v>
      </c>
      <c r="S16" s="30">
        <v>42255</v>
      </c>
      <c r="T16" s="30">
        <v>42130</v>
      </c>
      <c r="U16" s="30">
        <v>42008</v>
      </c>
      <c r="V16" s="30">
        <v>42309</v>
      </c>
      <c r="W16" s="30">
        <v>42361</v>
      </c>
      <c r="X16" s="30">
        <v>42280</v>
      </c>
    </row>
    <row r="17" spans="1:25" x14ac:dyDescent="0.3">
      <c r="A17">
        <v>16</v>
      </c>
      <c r="B17" t="s">
        <v>57</v>
      </c>
      <c r="C17" s="30">
        <v>42016</v>
      </c>
      <c r="D17" s="30">
        <f>WORKDAY(Tabla13[[#This Row],[Contract Begin]],300)</f>
        <v>42436</v>
      </c>
      <c r="E17" s="30">
        <f>WORKDAY.INTL(Tabla13[[#This Row],[Contract Begin]],300,3)</f>
        <v>42435</v>
      </c>
      <c r="F17" s="29">
        <f>NETWORKDAYS(Tabla13[[#This Row],[Contract Begin]],Tabla13[[#This Row],[Contract End Date 
(9 months)]])</f>
        <v>301</v>
      </c>
      <c r="G17" s="29">
        <f>NETWORKDAYS.INTL(Tabla13[[#This Row],[Contract Begin]],Tabla13[[#This Row],[Contract End Date 
Int weekends]],3)</f>
        <v>300</v>
      </c>
      <c r="H17" s="30">
        <f>WORKDAY.INTL(Tabla13[[#This Row],[Contract Begin]],NETWORKDAYS.INTL(Tabla13[[#This Row],[Contract Begin]],Tabla13[[#This Row],[Contract Begin]]+300,3),3)</f>
        <v>42316</v>
      </c>
      <c r="I17" s="30">
        <v>42296</v>
      </c>
      <c r="J17" s="30">
        <v>42263</v>
      </c>
      <c r="K17" s="30">
        <v>42077</v>
      </c>
      <c r="L17" s="30">
        <v>42105</v>
      </c>
      <c r="M17" s="30">
        <v>42141</v>
      </c>
      <c r="N17" s="30">
        <v>42203</v>
      </c>
      <c r="O17" s="30">
        <v>42248</v>
      </c>
      <c r="P17" s="30">
        <v>42166</v>
      </c>
      <c r="Q17" s="30">
        <v>42083</v>
      </c>
      <c r="R17" s="30">
        <v>42156</v>
      </c>
      <c r="S17" s="30">
        <v>42095</v>
      </c>
      <c r="T17" s="30">
        <v>42016</v>
      </c>
      <c r="U17" s="30">
        <v>42039</v>
      </c>
      <c r="V17" s="30">
        <v>42296</v>
      </c>
      <c r="W17" s="30">
        <v>42136</v>
      </c>
      <c r="X17" s="30">
        <v>42077</v>
      </c>
    </row>
    <row r="18" spans="1:25" x14ac:dyDescent="0.3">
      <c r="A18">
        <v>17</v>
      </c>
      <c r="B18" t="s">
        <v>58</v>
      </c>
      <c r="C18" s="30">
        <v>42040</v>
      </c>
      <c r="D18" s="30">
        <f>WORKDAY(Tabla13[[#This Row],[Contract Begin]],300)</f>
        <v>42460</v>
      </c>
      <c r="E18" s="30">
        <f>WORKDAY.INTL(Tabla13[[#This Row],[Contract Begin]],300,3)</f>
        <v>42460</v>
      </c>
      <c r="F18" s="29">
        <f>NETWORKDAYS(Tabla13[[#This Row],[Contract Begin]],Tabla13[[#This Row],[Contract End Date 
(9 months)]])</f>
        <v>301</v>
      </c>
      <c r="G18" s="29">
        <f>NETWORKDAYS.INTL(Tabla13[[#This Row],[Contract Begin]],Tabla13[[#This Row],[Contract End Date 
Int weekends]],3)</f>
        <v>301</v>
      </c>
      <c r="H18" s="30">
        <f>WORKDAY.INTL(Tabla13[[#This Row],[Contract Begin]],NETWORKDAYS.INTL(Tabla13[[#This Row],[Contract Begin]],Tabla13[[#This Row],[Contract Begin]]+300,3),3)</f>
        <v>42341</v>
      </c>
      <c r="I18" s="30">
        <v>42348</v>
      </c>
      <c r="J18" s="30">
        <v>42102</v>
      </c>
      <c r="K18" s="30">
        <v>42347</v>
      </c>
      <c r="L18" s="30">
        <v>42055</v>
      </c>
      <c r="M18" s="30">
        <v>42312</v>
      </c>
      <c r="N18" s="30">
        <v>42348</v>
      </c>
      <c r="O18" s="30">
        <v>42239</v>
      </c>
      <c r="P18" s="30">
        <v>42072</v>
      </c>
      <c r="Q18" s="30">
        <v>42092</v>
      </c>
      <c r="R18" s="30">
        <v>42191</v>
      </c>
      <c r="S18" s="30">
        <v>42233</v>
      </c>
      <c r="T18" s="30">
        <v>42040</v>
      </c>
      <c r="U18" s="30">
        <v>42053</v>
      </c>
      <c r="V18" s="30">
        <v>42106</v>
      </c>
      <c r="W18" s="30">
        <v>42319</v>
      </c>
      <c r="X18" s="30">
        <v>42341</v>
      </c>
    </row>
    <row r="19" spans="1:25" x14ac:dyDescent="0.3">
      <c r="A19">
        <v>18</v>
      </c>
      <c r="B19" t="s">
        <v>59</v>
      </c>
      <c r="C19" s="30">
        <v>42012</v>
      </c>
      <c r="D19" s="30">
        <f>WORKDAY(Tabla13[[#This Row],[Contract Begin]],300)</f>
        <v>42432</v>
      </c>
      <c r="E19" s="30">
        <f>WORKDAY.INTL(Tabla13[[#This Row],[Contract Begin]],300,3)</f>
        <v>42432</v>
      </c>
      <c r="F19" s="29">
        <f>NETWORKDAYS(Tabla13[[#This Row],[Contract Begin]],Tabla13[[#This Row],[Contract End Date 
(9 months)]])</f>
        <v>301</v>
      </c>
      <c r="G19" s="29">
        <f>NETWORKDAYS.INTL(Tabla13[[#This Row],[Contract Begin]],Tabla13[[#This Row],[Contract End Date 
Int weekends]],3)</f>
        <v>301</v>
      </c>
      <c r="H19" s="30">
        <f>WORKDAY.INTL(Tabla13[[#This Row],[Contract Begin]],NETWORKDAYS.INTL(Tabla13[[#This Row],[Contract Begin]],Tabla13[[#This Row],[Contract Begin]]+300,3),3)</f>
        <v>42313</v>
      </c>
      <c r="I19" s="30">
        <v>42369</v>
      </c>
      <c r="J19" s="30">
        <v>42334</v>
      </c>
      <c r="K19" s="30">
        <v>42346</v>
      </c>
      <c r="L19" s="30">
        <v>42014</v>
      </c>
      <c r="M19" s="30">
        <v>42293</v>
      </c>
      <c r="N19" s="30">
        <v>42065</v>
      </c>
      <c r="O19" s="30">
        <v>42120</v>
      </c>
      <c r="P19" s="30">
        <v>42334</v>
      </c>
      <c r="Q19" s="30">
        <v>42146</v>
      </c>
      <c r="R19" s="30">
        <v>42068</v>
      </c>
      <c r="S19" s="30">
        <v>42161</v>
      </c>
      <c r="T19" s="30">
        <v>42123</v>
      </c>
      <c r="U19" s="30">
        <v>42159</v>
      </c>
      <c r="V19" s="30">
        <v>42364</v>
      </c>
      <c r="W19" s="30">
        <v>42369</v>
      </c>
      <c r="X19" s="30">
        <v>42012</v>
      </c>
    </row>
    <row r="20" spans="1:25" x14ac:dyDescent="0.3">
      <c r="A20">
        <v>19</v>
      </c>
      <c r="B20" t="s">
        <v>60</v>
      </c>
      <c r="C20" s="30">
        <v>42009</v>
      </c>
      <c r="D20" s="30">
        <f>WORKDAY(Tabla13[[#This Row],[Contract Begin]],300)</f>
        <v>42429</v>
      </c>
      <c r="E20" s="30">
        <f>WORKDAY.INTL(Tabla13[[#This Row],[Contract Begin]],300,3)</f>
        <v>42428</v>
      </c>
      <c r="F20" s="29">
        <f>NETWORKDAYS(Tabla13[[#This Row],[Contract Begin]],Tabla13[[#This Row],[Contract End Date 
(9 months)]])</f>
        <v>301</v>
      </c>
      <c r="G20" s="29">
        <f>NETWORKDAYS.INTL(Tabla13[[#This Row],[Contract Begin]],Tabla13[[#This Row],[Contract End Date 
Int weekends]],3)</f>
        <v>300</v>
      </c>
      <c r="H20" s="30">
        <f>WORKDAY.INTL(Tabla13[[#This Row],[Contract Begin]],NETWORKDAYS.INTL(Tabla13[[#This Row],[Contract Begin]],Tabla13[[#This Row],[Contract Begin]]+300,3),3)</f>
        <v>42309</v>
      </c>
      <c r="I20" s="30">
        <v>42285</v>
      </c>
      <c r="J20" s="30">
        <v>42248</v>
      </c>
      <c r="K20" s="30">
        <v>42034</v>
      </c>
      <c r="L20" s="30">
        <v>42106</v>
      </c>
      <c r="M20" s="30">
        <v>42108</v>
      </c>
      <c r="N20" s="30">
        <v>42174</v>
      </c>
      <c r="O20" s="30">
        <v>42085</v>
      </c>
      <c r="P20" s="30">
        <v>42009</v>
      </c>
      <c r="Q20" s="30">
        <v>42034</v>
      </c>
      <c r="R20" s="30">
        <v>42034</v>
      </c>
      <c r="S20" s="30">
        <v>42282</v>
      </c>
      <c r="T20" s="30">
        <v>42161</v>
      </c>
      <c r="U20" s="30">
        <v>42282</v>
      </c>
      <c r="V20" s="30">
        <v>42285</v>
      </c>
      <c r="W20" s="30">
        <v>42082</v>
      </c>
      <c r="X20" s="30">
        <v>42062</v>
      </c>
    </row>
    <row r="21" spans="1:25" x14ac:dyDescent="0.3">
      <c r="A21">
        <v>20</v>
      </c>
      <c r="B21" t="s">
        <v>61</v>
      </c>
      <c r="C21" s="30">
        <v>42073</v>
      </c>
      <c r="D21" s="30">
        <f>WORKDAY(Tabla13[[#This Row],[Contract Begin]],300)</f>
        <v>42493</v>
      </c>
      <c r="E21" s="30">
        <f>WORKDAY.INTL(Tabla13[[#This Row],[Contract Begin]],300,3)</f>
        <v>42491</v>
      </c>
      <c r="F21" s="29">
        <f>NETWORKDAYS(Tabla13[[#This Row],[Contract Begin]],Tabla13[[#This Row],[Contract End Date 
(9 months)]])</f>
        <v>301</v>
      </c>
      <c r="G21" s="29">
        <f>NETWORKDAYS.INTL(Tabla13[[#This Row],[Contract Begin]],Tabla13[[#This Row],[Contract End Date 
Int weekends]],3)</f>
        <v>300</v>
      </c>
      <c r="H21" s="30">
        <f>WORKDAY.INTL(Tabla13[[#This Row],[Contract Begin]],NETWORKDAYS.INTL(Tabla13[[#This Row],[Contract Begin]],Tabla13[[#This Row],[Contract Begin]]+300,3),3)</f>
        <v>42372</v>
      </c>
      <c r="I21" s="30">
        <v>42364</v>
      </c>
      <c r="J21" s="30">
        <v>42207</v>
      </c>
      <c r="K21" s="30">
        <v>42127</v>
      </c>
      <c r="L21" s="30">
        <v>42280</v>
      </c>
      <c r="M21" s="30">
        <v>42299</v>
      </c>
      <c r="N21" s="30">
        <v>42361</v>
      </c>
      <c r="O21" s="30">
        <v>42254</v>
      </c>
      <c r="P21" s="30">
        <v>42364</v>
      </c>
      <c r="Q21" s="30">
        <v>42303</v>
      </c>
      <c r="R21" s="30">
        <v>42085</v>
      </c>
      <c r="S21" s="30">
        <v>42341</v>
      </c>
      <c r="T21" s="30">
        <v>42073</v>
      </c>
      <c r="U21" s="30">
        <v>42097</v>
      </c>
      <c r="V21" s="30">
        <v>42290</v>
      </c>
      <c r="W21" s="30">
        <v>42202</v>
      </c>
      <c r="X21" s="30">
        <v>42088</v>
      </c>
    </row>
    <row r="23" spans="1:25" x14ac:dyDescent="0.3">
      <c r="J23" s="15">
        <f>WEEKDAY(J2,2)</f>
        <v>3</v>
      </c>
      <c r="K23" s="15">
        <f t="shared" ref="K23:X23" si="0">WEEKDAY(K2,2)</f>
        <v>2</v>
      </c>
      <c r="L23" s="15">
        <f t="shared" si="0"/>
        <v>4</v>
      </c>
      <c r="M23" s="15">
        <f t="shared" si="0"/>
        <v>6</v>
      </c>
      <c r="N23" s="15">
        <f t="shared" si="0"/>
        <v>1</v>
      </c>
      <c r="O23" s="15">
        <f t="shared" si="0"/>
        <v>2</v>
      </c>
      <c r="P23" s="15">
        <f t="shared" si="0"/>
        <v>6</v>
      </c>
      <c r="Q23" s="15">
        <f t="shared" si="0"/>
        <v>5</v>
      </c>
      <c r="R23" s="15">
        <f t="shared" si="0"/>
        <v>7</v>
      </c>
      <c r="S23" s="15">
        <f t="shared" si="0"/>
        <v>1</v>
      </c>
      <c r="T23" s="15">
        <f t="shared" si="0"/>
        <v>4</v>
      </c>
      <c r="U23" s="15">
        <f t="shared" si="0"/>
        <v>3</v>
      </c>
      <c r="V23" s="15">
        <f t="shared" si="0"/>
        <v>1</v>
      </c>
      <c r="W23" s="15">
        <f t="shared" si="0"/>
        <v>1</v>
      </c>
      <c r="X23" s="15">
        <f t="shared" si="0"/>
        <v>7</v>
      </c>
      <c r="Y23" s="15"/>
    </row>
    <row r="24" spans="1:25" x14ac:dyDescent="0.3">
      <c r="J24" s="15">
        <f t="shared" ref="J24:X39" si="1">WEEKDAY(J3,2)</f>
        <v>4</v>
      </c>
      <c r="K24" s="15">
        <f t="shared" si="1"/>
        <v>5</v>
      </c>
      <c r="L24" s="15">
        <f t="shared" si="1"/>
        <v>3</v>
      </c>
      <c r="M24" s="15">
        <f t="shared" si="1"/>
        <v>7</v>
      </c>
      <c r="N24" s="15">
        <f t="shared" si="1"/>
        <v>3</v>
      </c>
      <c r="O24" s="15">
        <f t="shared" si="1"/>
        <v>1</v>
      </c>
      <c r="P24" s="15">
        <f t="shared" si="1"/>
        <v>4</v>
      </c>
      <c r="Q24" s="15">
        <f t="shared" si="1"/>
        <v>4</v>
      </c>
      <c r="R24" s="15">
        <f t="shared" si="1"/>
        <v>1</v>
      </c>
      <c r="S24" s="15">
        <f t="shared" si="1"/>
        <v>4</v>
      </c>
      <c r="T24" s="15">
        <f t="shared" si="1"/>
        <v>3</v>
      </c>
      <c r="U24" s="15">
        <f t="shared" si="1"/>
        <v>5</v>
      </c>
      <c r="V24" s="15">
        <f t="shared" si="1"/>
        <v>3</v>
      </c>
      <c r="W24" s="15">
        <f t="shared" si="1"/>
        <v>1</v>
      </c>
      <c r="X24" s="15">
        <f t="shared" si="1"/>
        <v>6</v>
      </c>
      <c r="Y24" s="15"/>
    </row>
    <row r="25" spans="1:25" x14ac:dyDescent="0.3">
      <c r="J25" s="15">
        <f t="shared" si="1"/>
        <v>6</v>
      </c>
      <c r="K25" s="15">
        <f t="shared" si="1"/>
        <v>2</v>
      </c>
      <c r="L25" s="15">
        <f t="shared" si="1"/>
        <v>3</v>
      </c>
      <c r="M25" s="15">
        <f t="shared" si="1"/>
        <v>3</v>
      </c>
      <c r="N25" s="15">
        <f t="shared" si="1"/>
        <v>4</v>
      </c>
      <c r="O25" s="15">
        <f t="shared" si="1"/>
        <v>3</v>
      </c>
      <c r="P25" s="15">
        <f t="shared" si="1"/>
        <v>5</v>
      </c>
      <c r="Q25" s="15">
        <f t="shared" si="1"/>
        <v>2</v>
      </c>
      <c r="R25" s="15">
        <f t="shared" si="1"/>
        <v>4</v>
      </c>
      <c r="S25" s="15">
        <f t="shared" si="1"/>
        <v>7</v>
      </c>
      <c r="T25" s="15">
        <f t="shared" si="1"/>
        <v>3</v>
      </c>
      <c r="U25" s="15">
        <f t="shared" si="1"/>
        <v>6</v>
      </c>
      <c r="V25" s="15">
        <f t="shared" si="1"/>
        <v>3</v>
      </c>
      <c r="W25" s="15">
        <f t="shared" si="1"/>
        <v>4</v>
      </c>
      <c r="X25" s="15">
        <f t="shared" si="1"/>
        <v>1</v>
      </c>
      <c r="Y25" s="15"/>
    </row>
    <row r="26" spans="1:25" x14ac:dyDescent="0.3">
      <c r="J26" s="15">
        <f t="shared" si="1"/>
        <v>5</v>
      </c>
      <c r="K26" s="15">
        <f t="shared" si="1"/>
        <v>3</v>
      </c>
      <c r="L26" s="15">
        <f t="shared" si="1"/>
        <v>5</v>
      </c>
      <c r="M26" s="15">
        <f t="shared" si="1"/>
        <v>2</v>
      </c>
      <c r="N26" s="15">
        <f t="shared" si="1"/>
        <v>2</v>
      </c>
      <c r="O26" s="15">
        <f t="shared" si="1"/>
        <v>7</v>
      </c>
      <c r="P26" s="15">
        <f t="shared" si="1"/>
        <v>1</v>
      </c>
      <c r="Q26" s="15">
        <f t="shared" si="1"/>
        <v>7</v>
      </c>
      <c r="R26" s="15">
        <f t="shared" si="1"/>
        <v>2</v>
      </c>
      <c r="S26" s="15">
        <f t="shared" si="1"/>
        <v>3</v>
      </c>
      <c r="T26" s="15">
        <f t="shared" si="1"/>
        <v>5</v>
      </c>
      <c r="U26" s="15">
        <f t="shared" si="1"/>
        <v>5</v>
      </c>
      <c r="V26" s="15">
        <f t="shared" si="1"/>
        <v>1</v>
      </c>
      <c r="W26" s="15">
        <f t="shared" si="1"/>
        <v>7</v>
      </c>
      <c r="X26" s="15">
        <f t="shared" si="1"/>
        <v>7</v>
      </c>
      <c r="Y26" s="15"/>
    </row>
    <row r="27" spans="1:25" x14ac:dyDescent="0.3">
      <c r="J27" s="15">
        <f t="shared" si="1"/>
        <v>4</v>
      </c>
      <c r="K27" s="15">
        <f t="shared" si="1"/>
        <v>5</v>
      </c>
      <c r="L27" s="15">
        <f t="shared" si="1"/>
        <v>7</v>
      </c>
      <c r="M27" s="15">
        <f t="shared" si="1"/>
        <v>6</v>
      </c>
      <c r="N27" s="15">
        <f t="shared" si="1"/>
        <v>3</v>
      </c>
      <c r="O27" s="15">
        <f t="shared" si="1"/>
        <v>2</v>
      </c>
      <c r="P27" s="15">
        <f t="shared" si="1"/>
        <v>4</v>
      </c>
      <c r="Q27" s="15">
        <f t="shared" si="1"/>
        <v>2</v>
      </c>
      <c r="R27" s="15">
        <f t="shared" si="1"/>
        <v>3</v>
      </c>
      <c r="S27" s="15">
        <f t="shared" si="1"/>
        <v>2</v>
      </c>
      <c r="T27" s="15">
        <f t="shared" si="1"/>
        <v>1</v>
      </c>
      <c r="U27" s="15">
        <f t="shared" si="1"/>
        <v>6</v>
      </c>
      <c r="V27" s="15">
        <f t="shared" si="1"/>
        <v>6</v>
      </c>
      <c r="W27" s="15">
        <f t="shared" si="1"/>
        <v>1</v>
      </c>
      <c r="X27" s="15">
        <f t="shared" si="1"/>
        <v>4</v>
      </c>
      <c r="Y27" s="15"/>
    </row>
    <row r="28" spans="1:25" x14ac:dyDescent="0.3">
      <c r="J28" s="15">
        <f t="shared" si="1"/>
        <v>3</v>
      </c>
      <c r="K28" s="15">
        <f t="shared" si="1"/>
        <v>1</v>
      </c>
      <c r="L28" s="15">
        <f t="shared" si="1"/>
        <v>5</v>
      </c>
      <c r="M28" s="15">
        <f t="shared" si="1"/>
        <v>6</v>
      </c>
      <c r="N28" s="15">
        <f t="shared" si="1"/>
        <v>3</v>
      </c>
      <c r="O28" s="15">
        <f t="shared" si="1"/>
        <v>4</v>
      </c>
      <c r="P28" s="15">
        <f t="shared" si="1"/>
        <v>2</v>
      </c>
      <c r="Q28" s="15">
        <f t="shared" si="1"/>
        <v>4</v>
      </c>
      <c r="R28" s="15">
        <f t="shared" si="1"/>
        <v>6</v>
      </c>
      <c r="S28" s="15">
        <f t="shared" si="1"/>
        <v>2</v>
      </c>
      <c r="T28" s="15">
        <f t="shared" si="1"/>
        <v>5</v>
      </c>
      <c r="U28" s="15">
        <f t="shared" si="1"/>
        <v>6</v>
      </c>
      <c r="V28" s="15">
        <f t="shared" si="1"/>
        <v>1</v>
      </c>
      <c r="W28" s="15">
        <f t="shared" si="1"/>
        <v>1</v>
      </c>
      <c r="X28" s="15">
        <f t="shared" si="1"/>
        <v>6</v>
      </c>
      <c r="Y28" s="15"/>
    </row>
    <row r="29" spans="1:25" x14ac:dyDescent="0.3">
      <c r="J29" s="15">
        <f t="shared" si="1"/>
        <v>6</v>
      </c>
      <c r="K29" s="15">
        <f t="shared" si="1"/>
        <v>2</v>
      </c>
      <c r="L29" s="15">
        <f t="shared" si="1"/>
        <v>3</v>
      </c>
      <c r="M29" s="15">
        <f t="shared" si="1"/>
        <v>4</v>
      </c>
      <c r="N29" s="15">
        <f t="shared" si="1"/>
        <v>5</v>
      </c>
      <c r="O29" s="15">
        <f t="shared" si="1"/>
        <v>6</v>
      </c>
      <c r="P29" s="15">
        <f t="shared" si="1"/>
        <v>2</v>
      </c>
      <c r="Q29" s="15">
        <f t="shared" si="1"/>
        <v>5</v>
      </c>
      <c r="R29" s="15">
        <f t="shared" si="1"/>
        <v>2</v>
      </c>
      <c r="S29" s="15">
        <f t="shared" si="1"/>
        <v>4</v>
      </c>
      <c r="T29" s="15">
        <f t="shared" si="1"/>
        <v>4</v>
      </c>
      <c r="U29" s="15">
        <f t="shared" si="1"/>
        <v>4</v>
      </c>
      <c r="V29" s="15">
        <f t="shared" si="1"/>
        <v>7</v>
      </c>
      <c r="W29" s="15">
        <f t="shared" si="1"/>
        <v>7</v>
      </c>
      <c r="X29" s="15">
        <f t="shared" si="1"/>
        <v>4</v>
      </c>
      <c r="Y29" s="15"/>
    </row>
    <row r="30" spans="1:25" x14ac:dyDescent="0.3">
      <c r="J30" s="15">
        <f t="shared" si="1"/>
        <v>6</v>
      </c>
      <c r="K30" s="15">
        <f t="shared" si="1"/>
        <v>2</v>
      </c>
      <c r="L30" s="15">
        <f t="shared" si="1"/>
        <v>2</v>
      </c>
      <c r="M30" s="15">
        <f t="shared" si="1"/>
        <v>1</v>
      </c>
      <c r="N30" s="15">
        <f t="shared" si="1"/>
        <v>6</v>
      </c>
      <c r="O30" s="15">
        <f t="shared" si="1"/>
        <v>2</v>
      </c>
      <c r="P30" s="15">
        <f t="shared" si="1"/>
        <v>2</v>
      </c>
      <c r="Q30" s="15">
        <f t="shared" si="1"/>
        <v>5</v>
      </c>
      <c r="R30" s="15">
        <f t="shared" si="1"/>
        <v>7</v>
      </c>
      <c r="S30" s="15">
        <f t="shared" si="1"/>
        <v>7</v>
      </c>
      <c r="T30" s="15">
        <f t="shared" si="1"/>
        <v>4</v>
      </c>
      <c r="U30" s="15">
        <f t="shared" si="1"/>
        <v>7</v>
      </c>
      <c r="V30" s="15">
        <f t="shared" si="1"/>
        <v>2</v>
      </c>
      <c r="W30" s="15">
        <f t="shared" si="1"/>
        <v>3</v>
      </c>
      <c r="X30" s="15">
        <f t="shared" si="1"/>
        <v>5</v>
      </c>
      <c r="Y30" s="15"/>
    </row>
    <row r="31" spans="1:25" x14ac:dyDescent="0.3">
      <c r="J31" s="15">
        <f t="shared" si="1"/>
        <v>1</v>
      </c>
      <c r="K31" s="15">
        <f t="shared" si="1"/>
        <v>3</v>
      </c>
      <c r="L31" s="15">
        <f t="shared" si="1"/>
        <v>7</v>
      </c>
      <c r="M31" s="15">
        <f t="shared" si="1"/>
        <v>6</v>
      </c>
      <c r="N31" s="15">
        <f t="shared" si="1"/>
        <v>1</v>
      </c>
      <c r="O31" s="15">
        <f t="shared" si="1"/>
        <v>6</v>
      </c>
      <c r="P31" s="15">
        <f t="shared" si="1"/>
        <v>5</v>
      </c>
      <c r="Q31" s="15">
        <f t="shared" si="1"/>
        <v>3</v>
      </c>
      <c r="R31" s="15">
        <f t="shared" si="1"/>
        <v>4</v>
      </c>
      <c r="S31" s="15">
        <f t="shared" si="1"/>
        <v>1</v>
      </c>
      <c r="T31" s="15">
        <f t="shared" si="1"/>
        <v>1</v>
      </c>
      <c r="U31" s="15">
        <f t="shared" si="1"/>
        <v>3</v>
      </c>
      <c r="V31" s="15">
        <f t="shared" si="1"/>
        <v>7</v>
      </c>
      <c r="W31" s="15">
        <f t="shared" si="1"/>
        <v>1</v>
      </c>
      <c r="X31" s="15">
        <f t="shared" si="1"/>
        <v>6</v>
      </c>
      <c r="Y31" s="15"/>
    </row>
    <row r="32" spans="1:25" x14ac:dyDescent="0.3">
      <c r="J32" s="15">
        <f t="shared" si="1"/>
        <v>7</v>
      </c>
      <c r="K32" s="15">
        <f t="shared" si="1"/>
        <v>1</v>
      </c>
      <c r="L32" s="15">
        <f t="shared" si="1"/>
        <v>2</v>
      </c>
      <c r="M32" s="15">
        <f t="shared" si="1"/>
        <v>3</v>
      </c>
      <c r="N32" s="15">
        <f t="shared" si="1"/>
        <v>6</v>
      </c>
      <c r="O32" s="15">
        <f t="shared" si="1"/>
        <v>3</v>
      </c>
      <c r="P32" s="15">
        <f t="shared" si="1"/>
        <v>4</v>
      </c>
      <c r="Q32" s="15">
        <f t="shared" si="1"/>
        <v>4</v>
      </c>
      <c r="R32" s="15">
        <f t="shared" si="1"/>
        <v>1</v>
      </c>
      <c r="S32" s="15">
        <f t="shared" si="1"/>
        <v>1</v>
      </c>
      <c r="T32" s="15">
        <f t="shared" si="1"/>
        <v>3</v>
      </c>
      <c r="U32" s="15">
        <f t="shared" si="1"/>
        <v>2</v>
      </c>
      <c r="V32" s="15">
        <f t="shared" si="1"/>
        <v>2</v>
      </c>
      <c r="W32" s="15">
        <f t="shared" si="1"/>
        <v>5</v>
      </c>
      <c r="X32" s="15">
        <f t="shared" si="1"/>
        <v>3</v>
      </c>
      <c r="Y32" s="15"/>
    </row>
    <row r="33" spans="10:25" x14ac:dyDescent="0.3">
      <c r="J33" s="15">
        <f t="shared" si="1"/>
        <v>3</v>
      </c>
      <c r="K33" s="15">
        <f t="shared" si="1"/>
        <v>4</v>
      </c>
      <c r="L33" s="15">
        <f t="shared" si="1"/>
        <v>6</v>
      </c>
      <c r="M33" s="15">
        <f t="shared" si="1"/>
        <v>3</v>
      </c>
      <c r="N33" s="15">
        <f t="shared" si="1"/>
        <v>3</v>
      </c>
      <c r="O33" s="15">
        <f t="shared" si="1"/>
        <v>4</v>
      </c>
      <c r="P33" s="15">
        <f t="shared" si="1"/>
        <v>6</v>
      </c>
      <c r="Q33" s="15">
        <f t="shared" si="1"/>
        <v>4</v>
      </c>
      <c r="R33" s="15">
        <f t="shared" si="1"/>
        <v>4</v>
      </c>
      <c r="S33" s="15">
        <f t="shared" si="1"/>
        <v>5</v>
      </c>
      <c r="T33" s="15">
        <f t="shared" si="1"/>
        <v>1</v>
      </c>
      <c r="U33" s="15">
        <f t="shared" si="1"/>
        <v>6</v>
      </c>
      <c r="V33" s="15">
        <f t="shared" si="1"/>
        <v>5</v>
      </c>
      <c r="W33" s="15">
        <f t="shared" si="1"/>
        <v>4</v>
      </c>
      <c r="X33" s="15">
        <f t="shared" si="1"/>
        <v>7</v>
      </c>
      <c r="Y33" s="15"/>
    </row>
    <row r="34" spans="10:25" x14ac:dyDescent="0.3">
      <c r="J34" s="15">
        <f t="shared" si="1"/>
        <v>5</v>
      </c>
      <c r="K34" s="15">
        <f t="shared" si="1"/>
        <v>6</v>
      </c>
      <c r="L34" s="15">
        <f t="shared" si="1"/>
        <v>5</v>
      </c>
      <c r="M34" s="15">
        <f t="shared" si="1"/>
        <v>3</v>
      </c>
      <c r="N34" s="15">
        <f t="shared" si="1"/>
        <v>1</v>
      </c>
      <c r="O34" s="15">
        <f t="shared" si="1"/>
        <v>4</v>
      </c>
      <c r="P34" s="15">
        <f t="shared" si="1"/>
        <v>6</v>
      </c>
      <c r="Q34" s="15">
        <f t="shared" si="1"/>
        <v>3</v>
      </c>
      <c r="R34" s="15">
        <f t="shared" si="1"/>
        <v>7</v>
      </c>
      <c r="S34" s="15">
        <f t="shared" si="1"/>
        <v>5</v>
      </c>
      <c r="T34" s="15">
        <f t="shared" si="1"/>
        <v>3</v>
      </c>
      <c r="U34" s="15">
        <f t="shared" si="1"/>
        <v>1</v>
      </c>
      <c r="V34" s="15">
        <f t="shared" si="1"/>
        <v>3</v>
      </c>
      <c r="W34" s="15">
        <f t="shared" si="1"/>
        <v>7</v>
      </c>
      <c r="X34" s="15">
        <f t="shared" si="1"/>
        <v>1</v>
      </c>
      <c r="Y34" s="15"/>
    </row>
    <row r="35" spans="10:25" x14ac:dyDescent="0.3">
      <c r="J35" s="15">
        <f t="shared" si="1"/>
        <v>1</v>
      </c>
      <c r="K35" s="15">
        <f t="shared" si="1"/>
        <v>1</v>
      </c>
      <c r="L35" s="15">
        <f t="shared" si="1"/>
        <v>3</v>
      </c>
      <c r="M35" s="15">
        <f t="shared" si="1"/>
        <v>1</v>
      </c>
      <c r="N35" s="15">
        <f t="shared" si="1"/>
        <v>1</v>
      </c>
      <c r="O35" s="15">
        <f t="shared" si="1"/>
        <v>2</v>
      </c>
      <c r="P35" s="15">
        <f t="shared" si="1"/>
        <v>1</v>
      </c>
      <c r="Q35" s="15">
        <f t="shared" si="1"/>
        <v>5</v>
      </c>
      <c r="R35" s="15">
        <f t="shared" si="1"/>
        <v>3</v>
      </c>
      <c r="S35" s="15">
        <f t="shared" si="1"/>
        <v>4</v>
      </c>
      <c r="T35" s="15">
        <f t="shared" si="1"/>
        <v>5</v>
      </c>
      <c r="U35" s="15">
        <f t="shared" si="1"/>
        <v>4</v>
      </c>
      <c r="V35" s="15">
        <f t="shared" si="1"/>
        <v>3</v>
      </c>
      <c r="W35" s="15">
        <f t="shared" si="1"/>
        <v>4</v>
      </c>
      <c r="X35" s="15">
        <f t="shared" si="1"/>
        <v>1</v>
      </c>
      <c r="Y35" s="15"/>
    </row>
    <row r="36" spans="10:25" x14ac:dyDescent="0.3">
      <c r="J36" s="15">
        <f t="shared" si="1"/>
        <v>2</v>
      </c>
      <c r="K36" s="15">
        <f t="shared" si="1"/>
        <v>5</v>
      </c>
      <c r="L36" s="15">
        <f t="shared" si="1"/>
        <v>3</v>
      </c>
      <c r="M36" s="15">
        <f t="shared" si="1"/>
        <v>6</v>
      </c>
      <c r="N36" s="15">
        <f t="shared" si="1"/>
        <v>5</v>
      </c>
      <c r="O36" s="15">
        <f t="shared" si="1"/>
        <v>2</v>
      </c>
      <c r="P36" s="15">
        <f t="shared" si="1"/>
        <v>3</v>
      </c>
      <c r="Q36" s="15">
        <f t="shared" si="1"/>
        <v>5</v>
      </c>
      <c r="R36" s="15">
        <f t="shared" si="1"/>
        <v>7</v>
      </c>
      <c r="S36" s="15">
        <f t="shared" si="1"/>
        <v>7</v>
      </c>
      <c r="T36" s="15">
        <f t="shared" si="1"/>
        <v>3</v>
      </c>
      <c r="U36" s="15">
        <f t="shared" si="1"/>
        <v>6</v>
      </c>
      <c r="V36" s="15">
        <f t="shared" si="1"/>
        <v>4</v>
      </c>
      <c r="W36" s="15">
        <f t="shared" si="1"/>
        <v>2</v>
      </c>
      <c r="X36" s="15">
        <f t="shared" si="1"/>
        <v>3</v>
      </c>
      <c r="Y36" s="15"/>
    </row>
    <row r="37" spans="10:25" x14ac:dyDescent="0.3">
      <c r="J37" s="15">
        <f t="shared" si="1"/>
        <v>6</v>
      </c>
      <c r="K37" s="15">
        <f t="shared" si="1"/>
        <v>7</v>
      </c>
      <c r="L37" s="15">
        <f t="shared" si="1"/>
        <v>3</v>
      </c>
      <c r="M37" s="15">
        <f t="shared" si="1"/>
        <v>7</v>
      </c>
      <c r="N37" s="15">
        <f t="shared" si="1"/>
        <v>6</v>
      </c>
      <c r="O37" s="15">
        <f t="shared" si="1"/>
        <v>3</v>
      </c>
      <c r="P37" s="15">
        <f t="shared" si="1"/>
        <v>3</v>
      </c>
      <c r="Q37" s="15">
        <f t="shared" si="1"/>
        <v>2</v>
      </c>
      <c r="R37" s="15">
        <f t="shared" si="1"/>
        <v>1</v>
      </c>
      <c r="S37" s="15">
        <f t="shared" si="1"/>
        <v>2</v>
      </c>
      <c r="T37" s="15">
        <f t="shared" si="1"/>
        <v>3</v>
      </c>
      <c r="U37" s="15">
        <f t="shared" si="1"/>
        <v>7</v>
      </c>
      <c r="V37" s="15">
        <f t="shared" si="1"/>
        <v>7</v>
      </c>
      <c r="W37" s="15">
        <f t="shared" si="1"/>
        <v>3</v>
      </c>
      <c r="X37" s="15">
        <f t="shared" si="1"/>
        <v>6</v>
      </c>
      <c r="Y37" s="15"/>
    </row>
    <row r="38" spans="10:25" x14ac:dyDescent="0.3">
      <c r="J38" s="15">
        <f t="shared" si="1"/>
        <v>3</v>
      </c>
      <c r="K38" s="15">
        <f t="shared" si="1"/>
        <v>6</v>
      </c>
      <c r="L38" s="15">
        <f t="shared" si="1"/>
        <v>6</v>
      </c>
      <c r="M38" s="15">
        <f t="shared" si="1"/>
        <v>7</v>
      </c>
      <c r="N38" s="15">
        <f t="shared" si="1"/>
        <v>6</v>
      </c>
      <c r="O38" s="15">
        <f t="shared" si="1"/>
        <v>2</v>
      </c>
      <c r="P38" s="15">
        <f t="shared" si="1"/>
        <v>4</v>
      </c>
      <c r="Q38" s="15">
        <f t="shared" si="1"/>
        <v>5</v>
      </c>
      <c r="R38" s="15">
        <f t="shared" si="1"/>
        <v>1</v>
      </c>
      <c r="S38" s="15">
        <f t="shared" si="1"/>
        <v>3</v>
      </c>
      <c r="T38" s="15">
        <f t="shared" si="1"/>
        <v>1</v>
      </c>
      <c r="U38" s="15">
        <f t="shared" si="1"/>
        <v>3</v>
      </c>
      <c r="V38" s="15">
        <f t="shared" si="1"/>
        <v>1</v>
      </c>
      <c r="W38" s="15">
        <f t="shared" si="1"/>
        <v>2</v>
      </c>
      <c r="X38" s="15">
        <f t="shared" si="1"/>
        <v>6</v>
      </c>
      <c r="Y38" s="15"/>
    </row>
    <row r="39" spans="10:25" x14ac:dyDescent="0.3">
      <c r="J39" s="15">
        <f t="shared" si="1"/>
        <v>3</v>
      </c>
      <c r="K39" s="15">
        <f t="shared" si="1"/>
        <v>3</v>
      </c>
      <c r="L39" s="15">
        <f t="shared" si="1"/>
        <v>5</v>
      </c>
      <c r="M39" s="15">
        <f t="shared" si="1"/>
        <v>3</v>
      </c>
      <c r="N39" s="15">
        <f t="shared" si="1"/>
        <v>4</v>
      </c>
      <c r="O39" s="15">
        <f t="shared" si="1"/>
        <v>7</v>
      </c>
      <c r="P39" s="15">
        <f t="shared" si="1"/>
        <v>1</v>
      </c>
      <c r="Q39" s="15">
        <f t="shared" si="1"/>
        <v>7</v>
      </c>
      <c r="R39" s="15">
        <f t="shared" si="1"/>
        <v>1</v>
      </c>
      <c r="S39" s="15">
        <f t="shared" si="1"/>
        <v>1</v>
      </c>
      <c r="T39" s="15">
        <f t="shared" si="1"/>
        <v>4</v>
      </c>
      <c r="U39" s="15">
        <f t="shared" si="1"/>
        <v>3</v>
      </c>
      <c r="V39" s="15">
        <f t="shared" si="1"/>
        <v>7</v>
      </c>
      <c r="W39" s="15">
        <f t="shared" si="1"/>
        <v>3</v>
      </c>
      <c r="X39" s="15">
        <f t="shared" si="1"/>
        <v>4</v>
      </c>
      <c r="Y39" s="15"/>
    </row>
    <row r="40" spans="10:25" x14ac:dyDescent="0.3">
      <c r="J40" s="15">
        <f t="shared" ref="J40:X42" si="2">WEEKDAY(J19,2)</f>
        <v>4</v>
      </c>
      <c r="K40" s="15">
        <f t="shared" si="2"/>
        <v>2</v>
      </c>
      <c r="L40" s="15">
        <f t="shared" si="2"/>
        <v>6</v>
      </c>
      <c r="M40" s="15">
        <f t="shared" si="2"/>
        <v>5</v>
      </c>
      <c r="N40" s="15">
        <f t="shared" si="2"/>
        <v>1</v>
      </c>
      <c r="O40" s="15">
        <f t="shared" si="2"/>
        <v>7</v>
      </c>
      <c r="P40" s="15">
        <f t="shared" si="2"/>
        <v>4</v>
      </c>
      <c r="Q40" s="15">
        <f t="shared" si="2"/>
        <v>5</v>
      </c>
      <c r="R40" s="15">
        <f t="shared" si="2"/>
        <v>4</v>
      </c>
      <c r="S40" s="15">
        <f t="shared" si="2"/>
        <v>6</v>
      </c>
      <c r="T40" s="15">
        <f t="shared" si="2"/>
        <v>3</v>
      </c>
      <c r="U40" s="15">
        <f t="shared" si="2"/>
        <v>4</v>
      </c>
      <c r="V40" s="15">
        <f t="shared" si="2"/>
        <v>6</v>
      </c>
      <c r="W40" s="15">
        <f t="shared" si="2"/>
        <v>4</v>
      </c>
      <c r="X40" s="15">
        <f t="shared" si="2"/>
        <v>4</v>
      </c>
      <c r="Y40" s="15"/>
    </row>
    <row r="41" spans="10:25" x14ac:dyDescent="0.3">
      <c r="J41" s="15">
        <f t="shared" si="2"/>
        <v>2</v>
      </c>
      <c r="K41" s="15">
        <f t="shared" si="2"/>
        <v>5</v>
      </c>
      <c r="L41" s="15">
        <f t="shared" si="2"/>
        <v>7</v>
      </c>
      <c r="M41" s="15">
        <f t="shared" si="2"/>
        <v>2</v>
      </c>
      <c r="N41" s="15">
        <f t="shared" si="2"/>
        <v>5</v>
      </c>
      <c r="O41" s="15">
        <f t="shared" si="2"/>
        <v>7</v>
      </c>
      <c r="P41" s="15">
        <f t="shared" si="2"/>
        <v>1</v>
      </c>
      <c r="Q41" s="15">
        <f t="shared" si="2"/>
        <v>5</v>
      </c>
      <c r="R41" s="15">
        <f t="shared" si="2"/>
        <v>5</v>
      </c>
      <c r="S41" s="15">
        <f t="shared" si="2"/>
        <v>1</v>
      </c>
      <c r="T41" s="15">
        <f t="shared" si="2"/>
        <v>6</v>
      </c>
      <c r="U41" s="15">
        <f t="shared" si="2"/>
        <v>1</v>
      </c>
      <c r="V41" s="15">
        <f t="shared" si="2"/>
        <v>4</v>
      </c>
      <c r="W41" s="15">
        <f t="shared" si="2"/>
        <v>4</v>
      </c>
      <c r="X41" s="15">
        <f t="shared" si="2"/>
        <v>5</v>
      </c>
      <c r="Y41" s="15"/>
    </row>
    <row r="42" spans="10:25" x14ac:dyDescent="0.3">
      <c r="J42" s="15">
        <f t="shared" si="2"/>
        <v>3</v>
      </c>
      <c r="K42" s="15">
        <f t="shared" si="2"/>
        <v>7</v>
      </c>
      <c r="L42" s="15">
        <f t="shared" si="2"/>
        <v>6</v>
      </c>
      <c r="M42" s="15">
        <f t="shared" si="2"/>
        <v>4</v>
      </c>
      <c r="N42" s="15">
        <f t="shared" si="2"/>
        <v>3</v>
      </c>
      <c r="O42" s="15">
        <f t="shared" si="2"/>
        <v>1</v>
      </c>
      <c r="P42" s="15">
        <f t="shared" si="2"/>
        <v>6</v>
      </c>
      <c r="Q42" s="15">
        <f t="shared" si="2"/>
        <v>1</v>
      </c>
      <c r="R42" s="15">
        <f t="shared" si="2"/>
        <v>7</v>
      </c>
      <c r="S42" s="15">
        <f t="shared" si="2"/>
        <v>4</v>
      </c>
      <c r="T42" s="15">
        <f t="shared" si="2"/>
        <v>2</v>
      </c>
      <c r="U42" s="15">
        <f t="shared" si="2"/>
        <v>5</v>
      </c>
      <c r="V42" s="15">
        <f t="shared" si="2"/>
        <v>2</v>
      </c>
      <c r="W42" s="15">
        <f t="shared" si="2"/>
        <v>5</v>
      </c>
      <c r="X42" s="15">
        <f t="shared" si="2"/>
        <v>3</v>
      </c>
      <c r="Y42" s="15"/>
    </row>
    <row r="43" spans="10:25" x14ac:dyDescent="0.3"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0:25" x14ac:dyDescent="0.3">
      <c r="J44" s="15"/>
      <c r="K44" s="15">
        <v>1</v>
      </c>
      <c r="L44" s="15" t="s">
        <v>62</v>
      </c>
      <c r="M44" s="15">
        <f>COUNTIF($J$23:$X$42,K44)</f>
        <v>47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0:25" x14ac:dyDescent="0.3">
      <c r="J45" s="15"/>
      <c r="K45" s="15">
        <v>2</v>
      </c>
      <c r="L45" s="15" t="s">
        <v>63</v>
      </c>
      <c r="M45" s="15">
        <f>COUNTIF($J$23:$X$42,K45)</f>
        <v>36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0:25" x14ac:dyDescent="0.3">
      <c r="J46" s="15"/>
      <c r="K46" s="15">
        <v>3</v>
      </c>
      <c r="L46" s="15" t="s">
        <v>64</v>
      </c>
      <c r="M46" s="15">
        <f>COUNTIF($J$23:$X$42,K46)</f>
        <v>57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0:25" x14ac:dyDescent="0.3">
      <c r="J47" s="15"/>
      <c r="K47" s="15">
        <v>4</v>
      </c>
      <c r="L47" s="15" t="s">
        <v>65</v>
      </c>
      <c r="M47" s="15">
        <f>COUNTIF($J$23:$X$42,K47)</f>
        <v>47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0:25" x14ac:dyDescent="0.3">
      <c r="J48" s="15"/>
      <c r="K48" s="15">
        <v>5</v>
      </c>
      <c r="L48" s="15" t="s">
        <v>66</v>
      </c>
      <c r="M48" s="15">
        <f>COUNTIF($J$23:$X$42,K48)</f>
        <v>38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0:25" x14ac:dyDescent="0.3">
      <c r="J49" s="15"/>
      <c r="K49" s="15">
        <v>6</v>
      </c>
      <c r="L49" s="15" t="s">
        <v>67</v>
      </c>
      <c r="M49" s="15">
        <f>COUNTIF($J$23:$X$42,K49)</f>
        <v>40</v>
      </c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0:25" x14ac:dyDescent="0.3">
      <c r="J50" s="15"/>
      <c r="K50" s="15">
        <v>7</v>
      </c>
      <c r="L50" s="15" t="s">
        <v>68</v>
      </c>
      <c r="M50" s="15">
        <f>COUNTIF($J$23:$X$42,K50)</f>
        <v>35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0:25" x14ac:dyDescent="0.3"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0:25" x14ac:dyDescent="0.3"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0:25" x14ac:dyDescent="0.3"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0:25" x14ac:dyDescent="0.3"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0:25" x14ac:dyDescent="0.3"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0:25" x14ac:dyDescent="0.3"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0:25" x14ac:dyDescent="0.3"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0:25" x14ac:dyDescent="0.3"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0:25" x14ac:dyDescent="0.3"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0:25" x14ac:dyDescent="0.3"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0:25" x14ac:dyDescent="0.3"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0:25" x14ac:dyDescent="0.3"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0:25" x14ac:dyDescent="0.3"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0:25" x14ac:dyDescent="0.3"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0:25" x14ac:dyDescent="0.3"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0:25" x14ac:dyDescent="0.3"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0:25" x14ac:dyDescent="0.3"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0:25" x14ac:dyDescent="0.3"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0:25" x14ac:dyDescent="0.3"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0:25" x14ac:dyDescent="0.3"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0:25" x14ac:dyDescent="0.3"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0:25" x14ac:dyDescent="0.3"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0:25" x14ac:dyDescent="0.3"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</sheetData>
  <sheetProtection algorithmName="SHA-512" hashValue="w3z3zYFjhoxIaNvDCh+FvuQsU6YEBKlHhqgoUgteePLD4ZlpMUHoU/vxo3UyR2QeA/iGWzKhFyaJMDZ2u/TJUg==" saltValue="bDv3WtEYgAmsvQtAmd3TEg==" spinCount="100000" sheet="1" objects="1" scenarios="1" selectLockedCells="1" selectUnlockedCells="1"/>
  <conditionalFormatting sqref="B2:B21">
    <cfRule type="expression" dxfId="3" priority="1">
      <formula>$I3&gt;$H3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Formulas Days</vt:lpstr>
      <vt:lpstr>Graficas y contratos</vt:lpstr>
      <vt:lpstr>Formulas Days (Ejemplo)</vt:lpstr>
      <vt:lpstr>Graficas y contratos (Ejemplo)</vt:lpstr>
    </vt:vector>
  </TitlesOfParts>
  <Company>Familia González Orozco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Orozco de González</dc:creator>
  <cp:lastModifiedBy>Stephany Orozco de González</cp:lastModifiedBy>
  <dcterms:created xsi:type="dcterms:W3CDTF">2015-03-24T17:45:16Z</dcterms:created>
  <dcterms:modified xsi:type="dcterms:W3CDTF">2017-06-15T20:57:58Z</dcterms:modified>
</cp:coreProperties>
</file>