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Excel Avanzado\Ejercicios Extras\Resueltos\"/>
    </mc:Choice>
  </mc:AlternateContent>
  <bookViews>
    <workbookView xWindow="0" yWindow="0" windowWidth="20490" windowHeight="7530" xr2:uid="{00000000-000D-0000-FFFF-FFFF00000000}"/>
  </bookViews>
  <sheets>
    <sheet name="Monthly_Billing" sheetId="1" r:id="rId1"/>
    <sheet name="Graficas Resultantes" sheetId="5" r:id="rId2"/>
  </sheets>
  <definedNames>
    <definedName name="_xlnm._FilterDatabase" localSheetId="0" hidden="1">Monthly_Billing!$A$4:$H$44</definedName>
  </definedNames>
  <calcPr calcId="171027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5" i="1"/>
</calcChain>
</file>

<file path=xl/sharedStrings.xml><?xml version="1.0" encoding="utf-8"?>
<sst xmlns="http://schemas.openxmlformats.org/spreadsheetml/2006/main" count="171" uniqueCount="64">
  <si>
    <t>Office</t>
  </si>
  <si>
    <t>Name</t>
  </si>
  <si>
    <t>Date</t>
  </si>
  <si>
    <t>Start</t>
  </si>
  <si>
    <t>End</t>
  </si>
  <si>
    <t>Time</t>
  </si>
  <si>
    <t>Duration</t>
  </si>
  <si>
    <t>Charge</t>
  </si>
  <si>
    <t>SJO</t>
  </si>
  <si>
    <t>Carvallo</t>
  </si>
  <si>
    <t>Cook</t>
  </si>
  <si>
    <t>DeVoe</t>
  </si>
  <si>
    <t>Hong</t>
  </si>
  <si>
    <t>Krebs</t>
  </si>
  <si>
    <t>Lee</t>
  </si>
  <si>
    <t>Riis</t>
  </si>
  <si>
    <t>Tejani</t>
  </si>
  <si>
    <t>Melo</t>
  </si>
  <si>
    <t>Akin</t>
  </si>
  <si>
    <t>Horizontal axis label range:</t>
  </si>
  <si>
    <t>First data series range</t>
  </si>
  <si>
    <t>Second data series range</t>
  </si>
  <si>
    <t>Type: Combo Chart</t>
  </si>
  <si>
    <t>“Duration” series Clustered Column (Primary Axis)</t>
  </si>
  <si>
    <t>"Charge"series Line (Secondary Axis)</t>
  </si>
  <si>
    <t>Primary Axis Bounds</t>
  </si>
  <si>
    <t>Secondary Axis Bounds</t>
  </si>
  <si>
    <t>Maximum (“5.0”)</t>
  </si>
  <si>
    <t>MONTHLY BILLING</t>
  </si>
  <si>
    <t>Type: You define the best type</t>
  </si>
  <si>
    <t>Insert a Forecast Line for Carvallo</t>
  </si>
  <si>
    <t>Put Title to the Graph Charges "Carvallo versus Cook"</t>
  </si>
  <si>
    <t>Axis Titles "Charge in $" and "DATE"</t>
  </si>
  <si>
    <t>Title Serie 1 Duration</t>
  </si>
  <si>
    <t>Title Serie 2 Charge</t>
  </si>
  <si>
    <t>Name of the Chart "Carvallo Monthly Billing"</t>
  </si>
  <si>
    <t>Minimum (“2.0”)</t>
  </si>
  <si>
    <t>Minimum (“300.0”)</t>
  </si>
  <si>
    <t>New Worksheet “Carvallo_Chart”</t>
  </si>
  <si>
    <t>Move chart to J4</t>
  </si>
  <si>
    <t>Exercise 2: Chart</t>
  </si>
  <si>
    <t>Exercise 1: Combo Chart</t>
  </si>
  <si>
    <t>Exercise 3: Chart</t>
  </si>
  <si>
    <t>Cell range A4:G24 on “Monthly_Billing” worksheet</t>
  </si>
  <si>
    <t>Ship Name</t>
  </si>
  <si>
    <t>Insert in a new Worksheet a chart that presents the average of the Charge per ship  (Primary Axis)</t>
  </si>
  <si>
    <t>`</t>
  </si>
  <si>
    <t>Graph Exercises: Instructions are in cell A26</t>
  </si>
  <si>
    <t>The resulting graph is not attached, because the student must do it according to their personal criteria.</t>
  </si>
  <si>
    <t>Put the Graph in cell K2</t>
  </si>
  <si>
    <t>Put the Graph in cell K60</t>
  </si>
  <si>
    <t>“Date” (column B)</t>
  </si>
  <si>
    <t>All cells in “Durations” (column F) with a value of “Carvallo” in name (column A)</t>
  </si>
  <si>
    <t>Cell range A4:H44 on “Monthly_Billing” worksheet</t>
  </si>
  <si>
    <t>Payment</t>
  </si>
  <si>
    <t>All cells in “Charge” (column H) with a value of “Carvallo” in name (column A)</t>
  </si>
  <si>
    <t>Maximum (“500.0”)</t>
  </si>
  <si>
    <t>All cells in “charge” (column H) with a value of “Cook” in name (column A)</t>
  </si>
  <si>
    <t>Minimum () You define minimum</t>
  </si>
  <si>
    <t>Maximum () You define maximum</t>
  </si>
  <si>
    <t>Insert a comment on what you analyze about Carvallo Forecast Line</t>
  </si>
  <si>
    <t>and the average of the duration per ship (Secondary Axis)</t>
  </si>
  <si>
    <t>Note: The graphics will no match exactly, values are changed. The graphics are only a reference.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</si>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</sst>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rgb="FF0070C0"/>
      <name val="Calibri"/>
      <family val="2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20" fontId="0" fillId="0" borderId="0" xfId="0" applyNumberFormat="1"/>
    <xf numFmtId="19" fontId="0" fillId="0" borderId="0" xfId="0" applyNumberFormat="1"/>
    <xf numFmtId="164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Carvallo</a:t>
            </a:r>
            <a:r>
              <a:rPr lang="es-GT" baseline="0"/>
              <a:t> Monthly Billing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Monthly_Billing!$B$4:$B$24</c15:sqref>
                  </c15:fullRef>
                </c:ext>
              </c:extLst>
              <c:f>Monthly_Billing!$B$5:$B$24</c:f>
              <c:strCache>
                <c:ptCount val="20"/>
                <c:pt idx="0">
                  <c:v>1-Apr-13</c:v>
                </c:pt>
                <c:pt idx="1">
                  <c:v>1-Apr-13</c:v>
                </c:pt>
                <c:pt idx="2">
                  <c:v>1-Apr-13</c:v>
                </c:pt>
                <c:pt idx="3">
                  <c:v>1-Apr-13</c:v>
                </c:pt>
                <c:pt idx="4">
                  <c:v>1-Apr-13</c:v>
                </c:pt>
                <c:pt idx="5">
                  <c:v>1-Apr-13</c:v>
                </c:pt>
                <c:pt idx="6">
                  <c:v>1-Apr-13</c:v>
                </c:pt>
                <c:pt idx="7">
                  <c:v>2-Apr-13</c:v>
                </c:pt>
                <c:pt idx="8">
                  <c:v>2-Apr-13</c:v>
                </c:pt>
                <c:pt idx="9">
                  <c:v>2-Apr-13</c:v>
                </c:pt>
                <c:pt idx="10">
                  <c:v>2-Apr-13</c:v>
                </c:pt>
                <c:pt idx="11">
                  <c:v>2-Apr-13</c:v>
                </c:pt>
                <c:pt idx="12">
                  <c:v>3-Apr-13</c:v>
                </c:pt>
                <c:pt idx="13">
                  <c:v>3-Apr-13</c:v>
                </c:pt>
                <c:pt idx="14">
                  <c:v>3-Apr-13</c:v>
                </c:pt>
                <c:pt idx="15">
                  <c:v>3-Apr-13</c:v>
                </c:pt>
                <c:pt idx="16">
                  <c:v>4-Apr-13</c:v>
                </c:pt>
                <c:pt idx="17">
                  <c:v>4-Apr-13</c:v>
                </c:pt>
                <c:pt idx="18">
                  <c:v>4-Apr-13</c:v>
                </c:pt>
                <c:pt idx="19">
                  <c:v>4-Apr-13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Monthly_Billing!$F$5:$F$24</c15:sqref>
                  </c15:fullRef>
                </c:ext>
              </c:extLst>
              <c:f>Monthly_Billing!$F$6:$F$24</c:f>
              <c:numCache>
                <c:formatCode>General</c:formatCode>
                <c:ptCount val="19"/>
                <c:pt idx="0">
                  <c:v>4.25</c:v>
                </c:pt>
                <c:pt idx="1">
                  <c:v>4.25</c:v>
                </c:pt>
                <c:pt idx="2">
                  <c:v>4.25</c:v>
                </c:pt>
                <c:pt idx="3">
                  <c:v>4.25</c:v>
                </c:pt>
                <c:pt idx="4">
                  <c:v>4.25</c:v>
                </c:pt>
                <c:pt idx="5">
                  <c:v>4.25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2.75</c:v>
                </c:pt>
                <c:pt idx="16">
                  <c:v>2.75</c:v>
                </c:pt>
                <c:pt idx="17">
                  <c:v>2.75</c:v>
                </c:pt>
                <c:pt idx="18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8-4076-9BA4-B130F9944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304288"/>
        <c:axId val="4755576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Monthly_Billing!$G$4</c15:sqref>
                        </c15:formulaRef>
                      </c:ext>
                    </c:extLst>
                    <c:strCache>
                      <c:ptCount val="1"/>
                      <c:pt idx="0">
                        <c:v>Payment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Monthly_Billing!$B$4:$B$24</c15:sqref>
                        </c15:fullRef>
                        <c15:formulaRef>
                          <c15:sqref>Monthly_Billing!$B$5:$B$24</c15:sqref>
                        </c15:formulaRef>
                      </c:ext>
                    </c:extLst>
                    <c:strCache>
                      <c:ptCount val="20"/>
                      <c:pt idx="0">
                        <c:v>1-Apr-13</c:v>
                      </c:pt>
                      <c:pt idx="1">
                        <c:v>1-Apr-13</c:v>
                      </c:pt>
                      <c:pt idx="2">
                        <c:v>1-Apr-13</c:v>
                      </c:pt>
                      <c:pt idx="3">
                        <c:v>1-Apr-13</c:v>
                      </c:pt>
                      <c:pt idx="4">
                        <c:v>1-Apr-13</c:v>
                      </c:pt>
                      <c:pt idx="5">
                        <c:v>1-Apr-13</c:v>
                      </c:pt>
                      <c:pt idx="6">
                        <c:v>1-Apr-13</c:v>
                      </c:pt>
                      <c:pt idx="7">
                        <c:v>2-Apr-13</c:v>
                      </c:pt>
                      <c:pt idx="8">
                        <c:v>2-Apr-13</c:v>
                      </c:pt>
                      <c:pt idx="9">
                        <c:v>2-Apr-13</c:v>
                      </c:pt>
                      <c:pt idx="10">
                        <c:v>2-Apr-13</c:v>
                      </c:pt>
                      <c:pt idx="11">
                        <c:v>2-Apr-13</c:v>
                      </c:pt>
                      <c:pt idx="12">
                        <c:v>3-Apr-13</c:v>
                      </c:pt>
                      <c:pt idx="13">
                        <c:v>3-Apr-13</c:v>
                      </c:pt>
                      <c:pt idx="14">
                        <c:v>3-Apr-13</c:v>
                      </c:pt>
                      <c:pt idx="15">
                        <c:v>3-Apr-13</c:v>
                      </c:pt>
                      <c:pt idx="16">
                        <c:v>4-Apr-13</c:v>
                      </c:pt>
                      <c:pt idx="17">
                        <c:v>4-Apr-13</c:v>
                      </c:pt>
                      <c:pt idx="18">
                        <c:v>4-Apr-13</c:v>
                      </c:pt>
                      <c:pt idx="19">
                        <c:v>4-Apr-13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Monthly_Billing!$G$5:$G$24</c15:sqref>
                        </c15:fullRef>
                        <c15:formulaRef>
                          <c15:sqref>Monthly_Billing!$G$6:$G$24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9"/>
                      <c:pt idx="0">
                        <c:v>50</c:v>
                      </c:pt>
                      <c:pt idx="1">
                        <c:v>75</c:v>
                      </c:pt>
                      <c:pt idx="2">
                        <c:v>85</c:v>
                      </c:pt>
                      <c:pt idx="3">
                        <c:v>50</c:v>
                      </c:pt>
                      <c:pt idx="4">
                        <c:v>85</c:v>
                      </c:pt>
                      <c:pt idx="5">
                        <c:v>85</c:v>
                      </c:pt>
                      <c:pt idx="6">
                        <c:v>75</c:v>
                      </c:pt>
                      <c:pt idx="7">
                        <c:v>50</c:v>
                      </c:pt>
                      <c:pt idx="8">
                        <c:v>75</c:v>
                      </c:pt>
                      <c:pt idx="9">
                        <c:v>85</c:v>
                      </c:pt>
                      <c:pt idx="10">
                        <c:v>50</c:v>
                      </c:pt>
                      <c:pt idx="11">
                        <c:v>75</c:v>
                      </c:pt>
                      <c:pt idx="12">
                        <c:v>50</c:v>
                      </c:pt>
                      <c:pt idx="13">
                        <c:v>50</c:v>
                      </c:pt>
                      <c:pt idx="14">
                        <c:v>50</c:v>
                      </c:pt>
                      <c:pt idx="15">
                        <c:v>75</c:v>
                      </c:pt>
                      <c:pt idx="16">
                        <c:v>75</c:v>
                      </c:pt>
                      <c:pt idx="17">
                        <c:v>50</c:v>
                      </c:pt>
                      <c:pt idx="18">
                        <c:v>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788-4076-9BA4-B130F99446D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Monthly_Billing!$H$4</c:f>
              <c:strCache>
                <c:ptCount val="1"/>
                <c:pt idx="0">
                  <c:v>Charge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Monthly_Billing!$A$5:$E$24</c15:sqref>
                  </c15:fullRef>
                </c:ext>
              </c:extLst>
              <c:f>Monthly_Billing!$A$6:$E$24</c:f>
              <c:multiLvlStrCache>
                <c:ptCount val="19"/>
                <c:lvl>
                  <c:pt idx="0">
                    <c:v>4:15</c:v>
                  </c:pt>
                  <c:pt idx="1">
                    <c:v>4:15</c:v>
                  </c:pt>
                  <c:pt idx="2">
                    <c:v>4:15</c:v>
                  </c:pt>
                  <c:pt idx="3">
                    <c:v>4:15</c:v>
                  </c:pt>
                  <c:pt idx="4">
                    <c:v>4:15</c:v>
                  </c:pt>
                  <c:pt idx="5">
                    <c:v>4:15</c:v>
                  </c:pt>
                  <c:pt idx="6">
                    <c:v>3:45</c:v>
                  </c:pt>
                  <c:pt idx="7">
                    <c:v>3:45</c:v>
                  </c:pt>
                  <c:pt idx="8">
                    <c:v>3:45</c:v>
                  </c:pt>
                  <c:pt idx="9">
                    <c:v>3:45</c:v>
                  </c:pt>
                  <c:pt idx="10">
                    <c:v>3:45</c:v>
                  </c:pt>
                  <c:pt idx="11">
                    <c:v>3:45</c:v>
                  </c:pt>
                  <c:pt idx="12">
                    <c:v>3:45</c:v>
                  </c:pt>
                  <c:pt idx="13">
                    <c:v>3:45</c:v>
                  </c:pt>
                  <c:pt idx="14">
                    <c:v>3:45</c:v>
                  </c:pt>
                  <c:pt idx="15">
                    <c:v>2:45</c:v>
                  </c:pt>
                  <c:pt idx="16">
                    <c:v>2:45</c:v>
                  </c:pt>
                  <c:pt idx="17">
                    <c:v>2:45</c:v>
                  </c:pt>
                  <c:pt idx="18">
                    <c:v>2:45</c:v>
                  </c:pt>
                </c:lvl>
                <c:lvl>
                  <c:pt idx="0">
                    <c:v>2:15:00 a. m.</c:v>
                  </c:pt>
                  <c:pt idx="1">
                    <c:v>2:15:00 a. m.</c:v>
                  </c:pt>
                  <c:pt idx="2">
                    <c:v>2:15:00 a. m.</c:v>
                  </c:pt>
                  <c:pt idx="3">
                    <c:v>2:15:00 a. m.</c:v>
                  </c:pt>
                  <c:pt idx="4">
                    <c:v>2:15:00 a. m.</c:v>
                  </c:pt>
                  <c:pt idx="5">
                    <c:v>2:15:00 a. m.</c:v>
                  </c:pt>
                  <c:pt idx="6">
                    <c:v>12:30:00 p. m.</c:v>
                  </c:pt>
                  <c:pt idx="7">
                    <c:v>12:30:00 p. m.</c:v>
                  </c:pt>
                  <c:pt idx="8">
                    <c:v>12:30:00 p. m.</c:v>
                  </c:pt>
                  <c:pt idx="9">
                    <c:v>12:30:00 p. m.</c:v>
                  </c:pt>
                  <c:pt idx="10">
                    <c:v>12:30:00 p. m.</c:v>
                  </c:pt>
                  <c:pt idx="11">
                    <c:v>5:15:00 p. m.</c:v>
                  </c:pt>
                  <c:pt idx="12">
                    <c:v>5:15:00 p. m.</c:v>
                  </c:pt>
                  <c:pt idx="13">
                    <c:v>5:15:00 p. m.</c:v>
                  </c:pt>
                  <c:pt idx="14">
                    <c:v>5:15:00 p. m.</c:v>
                  </c:pt>
                  <c:pt idx="15">
                    <c:v>9:45:00 a. m.</c:v>
                  </c:pt>
                  <c:pt idx="16">
                    <c:v>9:45:00 a. m.</c:v>
                  </c:pt>
                  <c:pt idx="17">
                    <c:v>9:45:00 a. m.</c:v>
                  </c:pt>
                  <c:pt idx="18">
                    <c:v>9:45:00 a. m.</c:v>
                  </c:pt>
                </c:lvl>
                <c:lvl>
                  <c:pt idx="0">
                    <c:v>10:00:00 a. m.</c:v>
                  </c:pt>
                  <c:pt idx="1">
                    <c:v>10:00:00 a. m.</c:v>
                  </c:pt>
                  <c:pt idx="2">
                    <c:v>10:00:00 a. m.</c:v>
                  </c:pt>
                  <c:pt idx="3">
                    <c:v>10:00:00 a. m.</c:v>
                  </c:pt>
                  <c:pt idx="4">
                    <c:v>10:00:00 a. m.</c:v>
                  </c:pt>
                  <c:pt idx="5">
                    <c:v>10:00:00 a. m.</c:v>
                  </c:pt>
                  <c:pt idx="6">
                    <c:v>8:45:00 a. m.</c:v>
                  </c:pt>
                  <c:pt idx="7">
                    <c:v>8:45:00 a. m.</c:v>
                  </c:pt>
                  <c:pt idx="8">
                    <c:v>8:45:00 a. m.</c:v>
                  </c:pt>
                  <c:pt idx="9">
                    <c:v>8:45:00 a. m.</c:v>
                  </c:pt>
                  <c:pt idx="10">
                    <c:v>8:45:00 a. m.</c:v>
                  </c:pt>
                  <c:pt idx="11">
                    <c:v>1:30:00 p. m.</c:v>
                  </c:pt>
                  <c:pt idx="12">
                    <c:v>1:30:00 p. m.</c:v>
                  </c:pt>
                  <c:pt idx="13">
                    <c:v>1:30:00 p. m.</c:v>
                  </c:pt>
                  <c:pt idx="14">
                    <c:v>1:30:00 p. m.</c:v>
                  </c:pt>
                  <c:pt idx="15">
                    <c:v>7:00:00 a. m.</c:v>
                  </c:pt>
                  <c:pt idx="16">
                    <c:v>7:00:00 a. m.</c:v>
                  </c:pt>
                  <c:pt idx="17">
                    <c:v>7:00:00 a. m.</c:v>
                  </c:pt>
                  <c:pt idx="18">
                    <c:v>7:00:00 a. m.</c:v>
                  </c:pt>
                </c:lvl>
                <c:lvl>
                  <c:pt idx="0">
                    <c:v>1-Apr-13</c:v>
                  </c:pt>
                  <c:pt idx="1">
                    <c:v>1-Apr-13</c:v>
                  </c:pt>
                  <c:pt idx="2">
                    <c:v>1-Apr-13</c:v>
                  </c:pt>
                  <c:pt idx="3">
                    <c:v>1-Apr-13</c:v>
                  </c:pt>
                  <c:pt idx="4">
                    <c:v>1-Apr-13</c:v>
                  </c:pt>
                  <c:pt idx="5">
                    <c:v>1-Apr-13</c:v>
                  </c:pt>
                  <c:pt idx="6">
                    <c:v>2-Apr-13</c:v>
                  </c:pt>
                  <c:pt idx="7">
                    <c:v>2-Apr-13</c:v>
                  </c:pt>
                  <c:pt idx="8">
                    <c:v>2-Apr-13</c:v>
                  </c:pt>
                  <c:pt idx="9">
                    <c:v>2-Apr-13</c:v>
                  </c:pt>
                  <c:pt idx="10">
                    <c:v>2-Apr-13</c:v>
                  </c:pt>
                  <c:pt idx="11">
                    <c:v>3-Apr-13</c:v>
                  </c:pt>
                  <c:pt idx="12">
                    <c:v>3-Apr-13</c:v>
                  </c:pt>
                  <c:pt idx="13">
                    <c:v>3-Apr-13</c:v>
                  </c:pt>
                  <c:pt idx="14">
                    <c:v>3-Apr-13</c:v>
                  </c:pt>
                  <c:pt idx="15">
                    <c:v>4-Apr-13</c:v>
                  </c:pt>
                  <c:pt idx="16">
                    <c:v>4-Apr-13</c:v>
                  </c:pt>
                  <c:pt idx="17">
                    <c:v>4-Apr-13</c:v>
                  </c:pt>
                  <c:pt idx="18">
                    <c:v>4-Apr-13</c:v>
                  </c:pt>
                </c:lvl>
                <c:lvl>
                  <c:pt idx="0">
                    <c:v>Cook</c:v>
                  </c:pt>
                  <c:pt idx="1">
                    <c:v>DeVoe</c:v>
                  </c:pt>
                  <c:pt idx="2">
                    <c:v>Hong</c:v>
                  </c:pt>
                  <c:pt idx="3">
                    <c:v>Krebs</c:v>
                  </c:pt>
                  <c:pt idx="4">
                    <c:v>Lee</c:v>
                  </c:pt>
                  <c:pt idx="5">
                    <c:v>Riis</c:v>
                  </c:pt>
                  <c:pt idx="6">
                    <c:v>Carvallo</c:v>
                  </c:pt>
                  <c:pt idx="7">
                    <c:v>Cook</c:v>
                  </c:pt>
                  <c:pt idx="8">
                    <c:v>DeVoe</c:v>
                  </c:pt>
                  <c:pt idx="9">
                    <c:v>Riis</c:v>
                  </c:pt>
                  <c:pt idx="10">
                    <c:v>Tejani</c:v>
                  </c:pt>
                  <c:pt idx="11">
                    <c:v>Carvallo</c:v>
                  </c:pt>
                  <c:pt idx="12">
                    <c:v>Cook</c:v>
                  </c:pt>
                  <c:pt idx="13">
                    <c:v>Melo</c:v>
                  </c:pt>
                  <c:pt idx="14">
                    <c:v>Tejani</c:v>
                  </c:pt>
                  <c:pt idx="15">
                    <c:v>Akin</c:v>
                  </c:pt>
                  <c:pt idx="16">
                    <c:v>Carvallo</c:v>
                  </c:pt>
                  <c:pt idx="17">
                    <c:v>Cook</c:v>
                  </c:pt>
                  <c:pt idx="18">
                    <c:v>Tejani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Monthly_Billing!$H$5:$H$24</c15:sqref>
                  </c15:fullRef>
                </c:ext>
              </c:extLst>
              <c:f>Monthly_Billing!$H$6:$H$24</c:f>
              <c:numCache>
                <c:formatCode>_("$"* #,##0.00_);_("$"* \(#,##0.00\);_("$"* "-"??_);_(@_)</c:formatCode>
                <c:ptCount val="19"/>
                <c:pt idx="0">
                  <c:v>212.5</c:v>
                </c:pt>
                <c:pt idx="1">
                  <c:v>318.75</c:v>
                </c:pt>
                <c:pt idx="2">
                  <c:v>361.25</c:v>
                </c:pt>
                <c:pt idx="3">
                  <c:v>212.5</c:v>
                </c:pt>
                <c:pt idx="4">
                  <c:v>361.25</c:v>
                </c:pt>
                <c:pt idx="5">
                  <c:v>361.25</c:v>
                </c:pt>
                <c:pt idx="6">
                  <c:v>281.25</c:v>
                </c:pt>
                <c:pt idx="7">
                  <c:v>187.5</c:v>
                </c:pt>
                <c:pt idx="8">
                  <c:v>281.25</c:v>
                </c:pt>
                <c:pt idx="9">
                  <c:v>318.75</c:v>
                </c:pt>
                <c:pt idx="10">
                  <c:v>187.5</c:v>
                </c:pt>
                <c:pt idx="11">
                  <c:v>281.25</c:v>
                </c:pt>
                <c:pt idx="12">
                  <c:v>187.5</c:v>
                </c:pt>
                <c:pt idx="13">
                  <c:v>187.5</c:v>
                </c:pt>
                <c:pt idx="14">
                  <c:v>187.5</c:v>
                </c:pt>
                <c:pt idx="15">
                  <c:v>206.25</c:v>
                </c:pt>
                <c:pt idx="16">
                  <c:v>206.25</c:v>
                </c:pt>
                <c:pt idx="17">
                  <c:v>137.5</c:v>
                </c:pt>
                <c:pt idx="18">
                  <c:v>137.5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8-4076-9BA4-B130F9944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03304"/>
        <c:axId val="608302648"/>
      </c:lineChart>
      <c:valAx>
        <c:axId val="47555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08304288"/>
        <c:crosses val="max"/>
        <c:crossBetween val="between"/>
      </c:valAx>
      <c:dateAx>
        <c:axId val="60830428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475557680"/>
        <c:auto val="1"/>
        <c:lblOffset val="100"/>
        <c:baseTimeUnit val="days"/>
      </c:dateAx>
      <c:valAx>
        <c:axId val="60830264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08303304"/>
        <c:crossBetween val="between"/>
      </c:valAx>
      <c:catAx>
        <c:axId val="608303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8302648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Carvallo</a:t>
            </a:r>
            <a:r>
              <a:rPr lang="es-GT" baseline="0"/>
              <a:t> vs Cook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Carvallo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(Monthly_Billing!$B$6,Monthly_Billing!$B$15,Monthly_Billing!$B$19,Monthly_Billing!$B$23,Monthly_Billing!$B$29,Monthly_Billing!$B$33,Monthly_Billing!$B$40,Monthly_Billing!$B$43)</c:f>
              <c:numCache>
                <c:formatCode>[$-409]d\-mmm\-yy;@</c:formatCode>
                <c:ptCount val="8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41371</c:v>
                </c:pt>
                <c:pt idx="6">
                  <c:v>41372</c:v>
                </c:pt>
                <c:pt idx="7">
                  <c:v>41373</c:v>
                </c:pt>
              </c:numCache>
            </c:numRef>
          </c:cat>
          <c:val>
            <c:numRef>
              <c:f>(Monthly_Billing!$H$5,Monthly_Billing!$H$12,Monthly_Billing!$H$17)</c:f>
              <c:numCache>
                <c:formatCode>_("$"* #,##0.00_);_("$"* \(#,##0.00\);_("$"* "-"??_);_(@_)</c:formatCode>
                <c:ptCount val="3"/>
                <c:pt idx="0">
                  <c:v>318.75</c:v>
                </c:pt>
                <c:pt idx="1">
                  <c:v>281.25</c:v>
                </c:pt>
                <c:pt idx="2">
                  <c:v>281.25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49-4B41-9E62-7C4C86FDF3AE}"/>
            </c:ext>
          </c:extLst>
        </c:ser>
        <c:ser>
          <c:idx val="4"/>
          <c:order val="4"/>
          <c:tx>
            <c:v>Cook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(Monthly_Billing!$B$6,Monthly_Billing!$B$15,Monthly_Billing!$B$19,Monthly_Billing!$B$23,Monthly_Billing!$B$29,Monthly_Billing!$B$33,Monthly_Billing!$B$40,Monthly_Billing!$B$43)</c:f>
              <c:numCache>
                <c:formatCode>[$-409]d\-mmm\-yy;@</c:formatCode>
                <c:ptCount val="8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41371</c:v>
                </c:pt>
                <c:pt idx="6">
                  <c:v>41372</c:v>
                </c:pt>
                <c:pt idx="7">
                  <c:v>41373</c:v>
                </c:pt>
              </c:numCache>
            </c:numRef>
          </c:cat>
          <c:val>
            <c:numRef>
              <c:f>(Monthly_Billing!$H$6,Monthly_Billing!$H$13,Monthly_Billing!$H$18,Monthly_Billing!$H$23,Monthly_Billing!$H$33,Monthly_Billing!$H$38,Monthly_Billing!$H$43)</c:f>
              <c:numCache>
                <c:formatCode>_("$"* #,##0.00_);_("$"* \(#,##0.00\);_("$"* "-"??_);_(@_)</c:formatCode>
                <c:ptCount val="7"/>
                <c:pt idx="0">
                  <c:v>212.5</c:v>
                </c:pt>
                <c:pt idx="1">
                  <c:v>187.5</c:v>
                </c:pt>
                <c:pt idx="2">
                  <c:v>187.5</c:v>
                </c:pt>
                <c:pt idx="3">
                  <c:v>137.5</c:v>
                </c:pt>
                <c:pt idx="4">
                  <c:v>187.5</c:v>
                </c:pt>
                <c:pt idx="5">
                  <c:v>187.5</c:v>
                </c:pt>
                <c:pt idx="6">
                  <c:v>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49-4B41-9E62-7C4C86FD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834168"/>
        <c:axId val="5548377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Monthly_Billing!$F$4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(Monthly_Billing!$B$6,Monthly_Billing!$B$15,Monthly_Billing!$B$19,Monthly_Billing!$B$23,Monthly_Billing!$B$29,Monthly_Billing!$B$33,Monthly_Billing!$B$40,Monthly_Billing!$B$43)</c15:sqref>
                        </c15:formulaRef>
                      </c:ext>
                    </c:extLst>
                    <c:numCache>
                      <c:formatCode>[$-409]d\-mmm\-yy;@</c:formatCode>
                      <c:ptCount val="8"/>
                      <c:pt idx="0">
                        <c:v>41365</c:v>
                      </c:pt>
                      <c:pt idx="1">
                        <c:v>41366</c:v>
                      </c:pt>
                      <c:pt idx="2">
                        <c:v>41367</c:v>
                      </c:pt>
                      <c:pt idx="3">
                        <c:v>41368</c:v>
                      </c:pt>
                      <c:pt idx="4">
                        <c:v>41369</c:v>
                      </c:pt>
                      <c:pt idx="5">
                        <c:v>41371</c:v>
                      </c:pt>
                      <c:pt idx="6">
                        <c:v>41372</c:v>
                      </c:pt>
                      <c:pt idx="7">
                        <c:v>41373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Monthly_Billing!$F$5:$F$44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4.25</c:v>
                      </c:pt>
                      <c:pt idx="1">
                        <c:v>4.25</c:v>
                      </c:pt>
                      <c:pt idx="2">
                        <c:v>4.25</c:v>
                      </c:pt>
                      <c:pt idx="3">
                        <c:v>4.25</c:v>
                      </c:pt>
                      <c:pt idx="4">
                        <c:v>4.25</c:v>
                      </c:pt>
                      <c:pt idx="5">
                        <c:v>4.25</c:v>
                      </c:pt>
                      <c:pt idx="6">
                        <c:v>4.25</c:v>
                      </c:pt>
                      <c:pt idx="7">
                        <c:v>3.75</c:v>
                      </c:pt>
                      <c:pt idx="8">
                        <c:v>3.75</c:v>
                      </c:pt>
                      <c:pt idx="9">
                        <c:v>3.75</c:v>
                      </c:pt>
                      <c:pt idx="10">
                        <c:v>3.75</c:v>
                      </c:pt>
                      <c:pt idx="11">
                        <c:v>3.75</c:v>
                      </c:pt>
                      <c:pt idx="12">
                        <c:v>3.75</c:v>
                      </c:pt>
                      <c:pt idx="13">
                        <c:v>3.75</c:v>
                      </c:pt>
                      <c:pt idx="14">
                        <c:v>3.75</c:v>
                      </c:pt>
                      <c:pt idx="15">
                        <c:v>3.75</c:v>
                      </c:pt>
                      <c:pt idx="16">
                        <c:v>2.75</c:v>
                      </c:pt>
                      <c:pt idx="17">
                        <c:v>2.75</c:v>
                      </c:pt>
                      <c:pt idx="18">
                        <c:v>2.75</c:v>
                      </c:pt>
                      <c:pt idx="19">
                        <c:v>2.75</c:v>
                      </c:pt>
                      <c:pt idx="22">
                        <c:v>4.25</c:v>
                      </c:pt>
                      <c:pt idx="23">
                        <c:v>4.25</c:v>
                      </c:pt>
                      <c:pt idx="24">
                        <c:v>4.25</c:v>
                      </c:pt>
                      <c:pt idx="25">
                        <c:v>4.25</c:v>
                      </c:pt>
                      <c:pt idx="26">
                        <c:v>4.25</c:v>
                      </c:pt>
                      <c:pt idx="27">
                        <c:v>3.75</c:v>
                      </c:pt>
                      <c:pt idx="28">
                        <c:v>3.75</c:v>
                      </c:pt>
                      <c:pt idx="29">
                        <c:v>3.75</c:v>
                      </c:pt>
                      <c:pt idx="30">
                        <c:v>3.75</c:v>
                      </c:pt>
                      <c:pt idx="31">
                        <c:v>3.75</c:v>
                      </c:pt>
                      <c:pt idx="32">
                        <c:v>3.75</c:v>
                      </c:pt>
                      <c:pt idx="33">
                        <c:v>3.75</c:v>
                      </c:pt>
                      <c:pt idx="34">
                        <c:v>3.75</c:v>
                      </c:pt>
                      <c:pt idx="35">
                        <c:v>3.75</c:v>
                      </c:pt>
                      <c:pt idx="36">
                        <c:v>2.75</c:v>
                      </c:pt>
                      <c:pt idx="37">
                        <c:v>2.75</c:v>
                      </c:pt>
                      <c:pt idx="38">
                        <c:v>2.75</c:v>
                      </c:pt>
                      <c:pt idx="39">
                        <c:v>2.75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49-4B41-9E62-7C4C86FDF3A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Monthly_Billing!$G$4</c15:sqref>
                        </c15:formulaRef>
                      </c:ext>
                    </c:extLst>
                    <c:strCache>
                      <c:ptCount val="1"/>
                      <c:pt idx="0">
                        <c:v>Payment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(Monthly_Billing!$B$6,Monthly_Billing!$B$15,Monthly_Billing!$B$19,Monthly_Billing!$B$23,Monthly_Billing!$B$29,Monthly_Billing!$B$33,Monthly_Billing!$B$40,Monthly_Billing!$B$43)</c15:sqref>
                        </c15:formulaRef>
                      </c:ext>
                    </c:extLst>
                    <c:numCache>
                      <c:formatCode>[$-409]d\-mmm\-yy;@</c:formatCode>
                      <c:ptCount val="8"/>
                      <c:pt idx="0">
                        <c:v>41365</c:v>
                      </c:pt>
                      <c:pt idx="1">
                        <c:v>41366</c:v>
                      </c:pt>
                      <c:pt idx="2">
                        <c:v>41367</c:v>
                      </c:pt>
                      <c:pt idx="3">
                        <c:v>41368</c:v>
                      </c:pt>
                      <c:pt idx="4">
                        <c:v>41369</c:v>
                      </c:pt>
                      <c:pt idx="5">
                        <c:v>41371</c:v>
                      </c:pt>
                      <c:pt idx="6">
                        <c:v>41372</c:v>
                      </c:pt>
                      <c:pt idx="7">
                        <c:v>41373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Monthly_Billing!$G$5:$G$44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0"/>
                      <c:pt idx="0">
                        <c:v>75</c:v>
                      </c:pt>
                      <c:pt idx="1">
                        <c:v>50</c:v>
                      </c:pt>
                      <c:pt idx="2">
                        <c:v>75</c:v>
                      </c:pt>
                      <c:pt idx="3">
                        <c:v>85</c:v>
                      </c:pt>
                      <c:pt idx="4">
                        <c:v>50</c:v>
                      </c:pt>
                      <c:pt idx="5">
                        <c:v>85</c:v>
                      </c:pt>
                      <c:pt idx="6">
                        <c:v>85</c:v>
                      </c:pt>
                      <c:pt idx="7">
                        <c:v>75</c:v>
                      </c:pt>
                      <c:pt idx="8">
                        <c:v>50</c:v>
                      </c:pt>
                      <c:pt idx="9">
                        <c:v>75</c:v>
                      </c:pt>
                      <c:pt idx="10">
                        <c:v>85</c:v>
                      </c:pt>
                      <c:pt idx="11">
                        <c:v>50</c:v>
                      </c:pt>
                      <c:pt idx="12">
                        <c:v>75</c:v>
                      </c:pt>
                      <c:pt idx="13">
                        <c:v>50</c:v>
                      </c:pt>
                      <c:pt idx="14">
                        <c:v>50</c:v>
                      </c:pt>
                      <c:pt idx="15">
                        <c:v>50</c:v>
                      </c:pt>
                      <c:pt idx="16">
                        <c:v>75</c:v>
                      </c:pt>
                      <c:pt idx="17">
                        <c:v>75</c:v>
                      </c:pt>
                      <c:pt idx="18">
                        <c:v>50</c:v>
                      </c:pt>
                      <c:pt idx="19">
                        <c:v>50</c:v>
                      </c:pt>
                      <c:pt idx="22">
                        <c:v>75</c:v>
                      </c:pt>
                      <c:pt idx="23">
                        <c:v>85</c:v>
                      </c:pt>
                      <c:pt idx="24">
                        <c:v>50</c:v>
                      </c:pt>
                      <c:pt idx="25">
                        <c:v>85</c:v>
                      </c:pt>
                      <c:pt idx="26">
                        <c:v>85</c:v>
                      </c:pt>
                      <c:pt idx="27">
                        <c:v>75</c:v>
                      </c:pt>
                      <c:pt idx="28">
                        <c:v>50</c:v>
                      </c:pt>
                      <c:pt idx="29">
                        <c:v>75</c:v>
                      </c:pt>
                      <c:pt idx="30">
                        <c:v>85</c:v>
                      </c:pt>
                      <c:pt idx="31">
                        <c:v>50</c:v>
                      </c:pt>
                      <c:pt idx="32">
                        <c:v>75</c:v>
                      </c:pt>
                      <c:pt idx="33">
                        <c:v>50</c:v>
                      </c:pt>
                      <c:pt idx="34">
                        <c:v>50</c:v>
                      </c:pt>
                      <c:pt idx="35">
                        <c:v>50</c:v>
                      </c:pt>
                      <c:pt idx="36">
                        <c:v>75</c:v>
                      </c:pt>
                      <c:pt idx="37">
                        <c:v>75</c:v>
                      </c:pt>
                      <c:pt idx="38">
                        <c:v>50</c:v>
                      </c:pt>
                      <c:pt idx="39">
                        <c:v>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E49-4B41-9E62-7C4C86FDF3A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Monthly_Billing!$H$4</c15:sqref>
                        </c15:formulaRef>
                      </c:ext>
                    </c:extLst>
                    <c:strCache>
                      <c:ptCount val="1"/>
                      <c:pt idx="0">
                        <c:v>Charge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(Monthly_Billing!$B$6,Monthly_Billing!$B$15,Monthly_Billing!$B$19,Monthly_Billing!$B$23,Monthly_Billing!$B$29,Monthly_Billing!$B$33,Monthly_Billing!$B$40,Monthly_Billing!$B$43)</c15:sqref>
                        </c15:formulaRef>
                      </c:ext>
                    </c:extLst>
                    <c:numCache>
                      <c:formatCode>[$-409]d\-mmm\-yy;@</c:formatCode>
                      <c:ptCount val="8"/>
                      <c:pt idx="0">
                        <c:v>41365</c:v>
                      </c:pt>
                      <c:pt idx="1">
                        <c:v>41366</c:v>
                      </c:pt>
                      <c:pt idx="2">
                        <c:v>41367</c:v>
                      </c:pt>
                      <c:pt idx="3">
                        <c:v>41368</c:v>
                      </c:pt>
                      <c:pt idx="4">
                        <c:v>41369</c:v>
                      </c:pt>
                      <c:pt idx="5">
                        <c:v>41371</c:v>
                      </c:pt>
                      <c:pt idx="6">
                        <c:v>41372</c:v>
                      </c:pt>
                      <c:pt idx="7">
                        <c:v>41373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Monthly_Billing!$H$5:$H$44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0"/>
                      <c:pt idx="0">
                        <c:v>318.75</c:v>
                      </c:pt>
                      <c:pt idx="1">
                        <c:v>212.5</c:v>
                      </c:pt>
                      <c:pt idx="2">
                        <c:v>318.75</c:v>
                      </c:pt>
                      <c:pt idx="3">
                        <c:v>361.25</c:v>
                      </c:pt>
                      <c:pt idx="4">
                        <c:v>212.5</c:v>
                      </c:pt>
                      <c:pt idx="5">
                        <c:v>361.25</c:v>
                      </c:pt>
                      <c:pt idx="6">
                        <c:v>361.25</c:v>
                      </c:pt>
                      <c:pt idx="7">
                        <c:v>281.25</c:v>
                      </c:pt>
                      <c:pt idx="8">
                        <c:v>187.5</c:v>
                      </c:pt>
                      <c:pt idx="9">
                        <c:v>281.25</c:v>
                      </c:pt>
                      <c:pt idx="10">
                        <c:v>318.75</c:v>
                      </c:pt>
                      <c:pt idx="11">
                        <c:v>187.5</c:v>
                      </c:pt>
                      <c:pt idx="12">
                        <c:v>281.25</c:v>
                      </c:pt>
                      <c:pt idx="13">
                        <c:v>187.5</c:v>
                      </c:pt>
                      <c:pt idx="14">
                        <c:v>187.5</c:v>
                      </c:pt>
                      <c:pt idx="15">
                        <c:v>187.5</c:v>
                      </c:pt>
                      <c:pt idx="16">
                        <c:v>206.25</c:v>
                      </c:pt>
                      <c:pt idx="17">
                        <c:v>206.25</c:v>
                      </c:pt>
                      <c:pt idx="18">
                        <c:v>137.5</c:v>
                      </c:pt>
                      <c:pt idx="19">
                        <c:v>137.5</c:v>
                      </c:pt>
                      <c:pt idx="22">
                        <c:v>318.75</c:v>
                      </c:pt>
                      <c:pt idx="23">
                        <c:v>361.25</c:v>
                      </c:pt>
                      <c:pt idx="24">
                        <c:v>212.5</c:v>
                      </c:pt>
                      <c:pt idx="25">
                        <c:v>361.25</c:v>
                      </c:pt>
                      <c:pt idx="26">
                        <c:v>361.25</c:v>
                      </c:pt>
                      <c:pt idx="27">
                        <c:v>281.25</c:v>
                      </c:pt>
                      <c:pt idx="28">
                        <c:v>187.5</c:v>
                      </c:pt>
                      <c:pt idx="29">
                        <c:v>281.25</c:v>
                      </c:pt>
                      <c:pt idx="30">
                        <c:v>318.75</c:v>
                      </c:pt>
                      <c:pt idx="31">
                        <c:v>187.5</c:v>
                      </c:pt>
                      <c:pt idx="32">
                        <c:v>281.25</c:v>
                      </c:pt>
                      <c:pt idx="33">
                        <c:v>187.5</c:v>
                      </c:pt>
                      <c:pt idx="34">
                        <c:v>187.5</c:v>
                      </c:pt>
                      <c:pt idx="35">
                        <c:v>187.5</c:v>
                      </c:pt>
                      <c:pt idx="36">
                        <c:v>206.25</c:v>
                      </c:pt>
                      <c:pt idx="37">
                        <c:v>206.25</c:v>
                      </c:pt>
                      <c:pt idx="38">
                        <c:v>137.5</c:v>
                      </c:pt>
                      <c:pt idx="39">
                        <c:v>137.5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E49-4B41-9E62-7C4C86FDF3AE}"/>
                  </c:ext>
                </c:extLst>
              </c15:ser>
            </c15:filteredBarSeries>
          </c:ext>
        </c:extLst>
      </c:barChart>
      <c:dateAx>
        <c:axId val="554834168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54837776"/>
        <c:crosses val="autoZero"/>
        <c:auto val="1"/>
        <c:lblOffset val="100"/>
        <c:baseTimeUnit val="days"/>
      </c:dateAx>
      <c:valAx>
        <c:axId val="5548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5483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Carvallo Monthly Billing</a:t>
            </a:r>
          </a:p>
        </c:rich>
      </c:tx>
      <c:layout>
        <c:manualLayout>
          <c:xMode val="edge"/>
          <c:yMode val="edge"/>
          <c:x val="0.3910901137357830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Resultantes'!$G$1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'Graficas Resultantes'!$C$3:$C$6</c:f>
              <c:numCache>
                <c:formatCode>[$-409]d\-mmm\-yy;@</c:formatCode>
                <c:ptCount val="4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</c:numCache>
            </c:numRef>
          </c:cat>
          <c:val>
            <c:numRef>
              <c:f>'Graficas Resultantes'!$G$3:$G$6</c:f>
              <c:numCache>
                <c:formatCode>General</c:formatCode>
                <c:ptCount val="4"/>
                <c:pt idx="0">
                  <c:v>4.25</c:v>
                </c:pt>
                <c:pt idx="1">
                  <c:v>3.75</c:v>
                </c:pt>
                <c:pt idx="2">
                  <c:v>3.75</c:v>
                </c:pt>
                <c:pt idx="3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1-458F-9B60-6FDBC7BF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764960"/>
        <c:axId val="683738912"/>
      </c:barChart>
      <c:lineChart>
        <c:grouping val="standard"/>
        <c:varyColors val="0"/>
        <c:ser>
          <c:idx val="1"/>
          <c:order val="1"/>
          <c:tx>
            <c:strRef>
              <c:f>'Graficas Resultantes'!$H$1</c:f>
              <c:strCache>
                <c:ptCount val="1"/>
                <c:pt idx="0">
                  <c:v>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'Graficas Resultantes'!$C$3:$C$6</c:f>
              <c:numCache>
                <c:formatCode>[$-409]d\-mmm\-yy;@</c:formatCode>
                <c:ptCount val="4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</c:numCache>
            </c:numRef>
          </c:cat>
          <c:val>
            <c:numRef>
              <c:f>'Graficas Resultantes'!$H$3:$H$6</c:f>
              <c:numCache>
                <c:formatCode>_("$"* #,##0.00_);_("$"* \(#,##0.00\);_("$"* "-"??_);_(@_)</c:formatCode>
                <c:ptCount val="4"/>
                <c:pt idx="0">
                  <c:v>510</c:v>
                </c:pt>
                <c:pt idx="1">
                  <c:v>450</c:v>
                </c:pt>
                <c:pt idx="2">
                  <c:v>450</c:v>
                </c:pt>
                <c:pt idx="3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1-458F-9B60-6FDBC7BF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742720"/>
        <c:axId val="683740000"/>
      </c:lineChart>
      <c:dateAx>
        <c:axId val="581764960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83738912"/>
        <c:crosses val="autoZero"/>
        <c:auto val="1"/>
        <c:lblOffset val="100"/>
        <c:baseTimeUnit val="days"/>
      </c:dateAx>
      <c:valAx>
        <c:axId val="683738912"/>
        <c:scaling>
          <c:orientation val="minMax"/>
          <c:max val="5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81764960"/>
        <c:crosses val="autoZero"/>
        <c:crossBetween val="between"/>
      </c:valAx>
      <c:valAx>
        <c:axId val="683740000"/>
        <c:scaling>
          <c:orientation val="minMax"/>
          <c:min val="300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83742720"/>
        <c:crosses val="max"/>
        <c:crossBetween val="between"/>
      </c:valAx>
      <c:dateAx>
        <c:axId val="68374272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6837400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Carvallo versus Cook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Carvallo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'Graficas Resultantes'!$C$3:$C$6</c:f>
              <c:numCache>
                <c:formatCode>[$-409]d\-mmm\-yy;@</c:formatCode>
                <c:ptCount val="4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</c:numCache>
            </c:numRef>
          </c:cat>
          <c:val>
            <c:numRef>
              <c:f>'Graficas Resultantes'!$H$3:$H$6</c:f>
              <c:numCache>
                <c:formatCode>_("$"* #,##0.00_);_("$"* \(#,##0.00\);_("$"* "-"??_);_(@_)</c:formatCode>
                <c:ptCount val="4"/>
                <c:pt idx="0">
                  <c:v>510</c:v>
                </c:pt>
                <c:pt idx="1">
                  <c:v>450</c:v>
                </c:pt>
                <c:pt idx="2">
                  <c:v>450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4C-4069-B1B2-77E25041B9F8}"/>
            </c:ext>
          </c:extLst>
        </c:ser>
        <c:ser>
          <c:idx val="1"/>
          <c:order val="1"/>
          <c:tx>
            <c:strRef>
              <c:f>'Graficas Resultantes'!$B$7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'Graficas Resultantes'!$H$7:$H$10</c:f>
              <c:numCache>
                <c:formatCode>_("$"* #,##0.00_);_("$"* \(#,##0.00\);_("$"* "-"??_);_(@_)</c:formatCode>
                <c:ptCount val="4"/>
                <c:pt idx="0">
                  <c:v>318.75</c:v>
                </c:pt>
                <c:pt idx="1">
                  <c:v>281.25</c:v>
                </c:pt>
                <c:pt idx="2">
                  <c:v>281.25</c:v>
                </c:pt>
                <c:pt idx="3">
                  <c:v>206.25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4C-4069-B1B2-77E25041B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741088"/>
        <c:axId val="683739456"/>
      </c:barChart>
      <c:dateAx>
        <c:axId val="68374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83739456"/>
        <c:crosses val="autoZero"/>
        <c:auto val="1"/>
        <c:lblOffset val="100"/>
        <c:baseTimeUnit val="days"/>
      </c:dateAx>
      <c:valAx>
        <c:axId val="6837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</a:t>
                </a:r>
                <a:r>
                  <a:rPr lang="en-US" baseline="0"/>
                  <a:t> in $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837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506015</xdr:colOff>
      <xdr:row>6</xdr:row>
      <xdr:rowOff>35725</xdr:rowOff>
    </xdr:from>
    <xdr:to>
      <xdr:col>19</xdr:col>
      <xdr:colOff>220265</xdr:colOff>
      <xdr:row>20</xdr:row>
      <xdr:rowOff>111925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ACDF89-8ABC-4441-B029-FEA1DF189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506014</xdr:colOff>
      <xdr:row>21</xdr:row>
      <xdr:rowOff>23819</xdr:rowOff>
    </xdr:from>
    <xdr:to>
      <xdr:col>19</xdr:col>
      <xdr:colOff>220264</xdr:colOff>
      <xdr:row>35</xdr:row>
      <xdr:rowOff>100019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BF6583-AC50-46F2-B4C9-44EE5BB79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0</xdr:row>
      <xdr:rowOff>76200</xdr:rowOff>
    </xdr:from>
    <xdr:to>
      <xdr:col>15</xdr:col>
      <xdr:colOff>180974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309562</xdr:colOff>
      <xdr:row>0</xdr:row>
      <xdr:rowOff>57149</xdr:rowOff>
    </xdr:from>
    <xdr:to>
      <xdr:col>22</xdr:col>
      <xdr:colOff>80962</xdr:colOff>
      <xdr:row>17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showGridLines="0" tabSelected="1" zoomScale="80" zoomScaleNormal="80" workbookViewId="0">
      <pane ySplit="4" topLeftCell="A5" activePane="bottomLeft" state="frozen"/>
      <selection pane="bottomLeft" activeCell="M38" sqref="M38"/>
    </sheetView>
  </sheetViews>
  <sheetFormatPr defaultColWidth="9.140625" defaultRowHeight="15" x14ac:dyDescent="0.25"/>
  <cols>
    <col min="1" max="1" width="11.85546875" customWidth="1"/>
    <col min="2" max="2" width="12.85546875" customWidth="1"/>
    <col min="3" max="3" width="16.28515625" customWidth="1"/>
    <col min="4" max="4" width="15.42578125" customWidth="1"/>
    <col min="5" max="5" width="13.140625" bestFit="1" customWidth="1"/>
    <col min="6" max="7" width="8.85546875" customWidth="1"/>
    <col min="8" max="8" width="14.28515625" customWidth="1"/>
  </cols>
  <sheetData>
    <row r="1" spans="1:12" ht="15.75" x14ac:dyDescent="0.25">
      <c r="A1" t="s">
        <v>47</v>
      </c>
      <c r="J1" s="6"/>
      <c r="K1" s="7"/>
      <c r="L1" s="7"/>
    </row>
    <row r="2" spans="1:12" ht="15.75" x14ac:dyDescent="0.25">
      <c r="J2" s="6"/>
      <c r="K2" s="7"/>
      <c r="L2" s="7"/>
    </row>
    <row r="3" spans="1:12" x14ac:dyDescent="0.25">
      <c r="A3" s="13" t="s">
        <v>28</v>
      </c>
      <c r="B3" s="13"/>
      <c r="C3" s="13"/>
      <c r="D3" s="13"/>
      <c r="E3" s="13"/>
      <c r="F3" s="13"/>
      <c r="G3" s="13"/>
      <c r="H3" s="13"/>
    </row>
    <row r="4" spans="1:12" x14ac:dyDescent="0.25">
      <c r="A4" s="5" t="s">
        <v>44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54</v>
      </c>
      <c r="H4" s="5" t="s">
        <v>7</v>
      </c>
    </row>
    <row r="5" spans="1:12" x14ac:dyDescent="0.25">
      <c r="A5" t="s">
        <v>9</v>
      </c>
      <c r="B5" s="1">
        <v>41365</v>
      </c>
      <c r="C5" s="3">
        <v>0.41666666666666669</v>
      </c>
      <c r="D5" s="3">
        <v>9.375E-2</v>
      </c>
      <c r="E5" s="2">
        <v>0.17708333333333334</v>
      </c>
      <c r="F5">
        <v>4.25</v>
      </c>
      <c r="G5" s="4">
        <v>75</v>
      </c>
      <c r="H5" s="4">
        <f>G5*F5</f>
        <v>318.75</v>
      </c>
    </row>
    <row r="6" spans="1:12" x14ac:dyDescent="0.25">
      <c r="A6" t="s">
        <v>10</v>
      </c>
      <c r="B6" s="1">
        <v>41365</v>
      </c>
      <c r="C6" s="3">
        <v>0.41666666666666669</v>
      </c>
      <c r="D6" s="3">
        <v>9.375E-2</v>
      </c>
      <c r="E6" s="2">
        <v>0.17708333333333334</v>
      </c>
      <c r="F6">
        <v>4.25</v>
      </c>
      <c r="G6" s="4">
        <v>50</v>
      </c>
      <c r="H6" s="4">
        <f t="shared" ref="H6:H44" si="0">G6*F6</f>
        <v>212.5</v>
      </c>
    </row>
    <row r="7" spans="1:12" x14ac:dyDescent="0.25">
      <c r="A7" t="s">
        <v>11</v>
      </c>
      <c r="B7" s="1">
        <v>41365</v>
      </c>
      <c r="C7" s="3">
        <v>0.41666666666666669</v>
      </c>
      <c r="D7" s="3">
        <v>9.375E-2</v>
      </c>
      <c r="E7" s="2">
        <v>0.17708333333333334</v>
      </c>
      <c r="F7">
        <v>4.25</v>
      </c>
      <c r="G7" s="4">
        <v>75</v>
      </c>
      <c r="H7" s="4">
        <f t="shared" si="0"/>
        <v>318.75</v>
      </c>
    </row>
    <row r="8" spans="1:12" x14ac:dyDescent="0.25">
      <c r="A8" t="s">
        <v>12</v>
      </c>
      <c r="B8" s="1">
        <v>41365</v>
      </c>
      <c r="C8" s="3">
        <v>0.41666666666666669</v>
      </c>
      <c r="D8" s="3">
        <v>9.375E-2</v>
      </c>
      <c r="E8" s="2">
        <v>0.17708333333333334</v>
      </c>
      <c r="F8">
        <v>4.25</v>
      </c>
      <c r="G8" s="4">
        <v>85</v>
      </c>
      <c r="H8" s="4">
        <f t="shared" si="0"/>
        <v>361.25</v>
      </c>
    </row>
    <row r="9" spans="1:12" x14ac:dyDescent="0.25">
      <c r="A9" t="s">
        <v>13</v>
      </c>
      <c r="B9" s="1">
        <v>41365</v>
      </c>
      <c r="C9" s="3">
        <v>0.41666666666666669</v>
      </c>
      <c r="D9" s="3">
        <v>9.375E-2</v>
      </c>
      <c r="E9" s="2">
        <v>0.17708333333333334</v>
      </c>
      <c r="F9">
        <v>4.25</v>
      </c>
      <c r="G9" s="4">
        <v>50</v>
      </c>
      <c r="H9" s="4">
        <f t="shared" si="0"/>
        <v>212.5</v>
      </c>
    </row>
    <row r="10" spans="1:12" x14ac:dyDescent="0.25">
      <c r="A10" t="s">
        <v>14</v>
      </c>
      <c r="B10" s="1">
        <v>41365</v>
      </c>
      <c r="C10" s="3">
        <v>0.41666666666666669</v>
      </c>
      <c r="D10" s="3">
        <v>9.375E-2</v>
      </c>
      <c r="E10" s="2">
        <v>0.17708333333333334</v>
      </c>
      <c r="F10">
        <v>4.25</v>
      </c>
      <c r="G10" s="4">
        <v>85</v>
      </c>
      <c r="H10" s="4">
        <f t="shared" si="0"/>
        <v>361.25</v>
      </c>
    </row>
    <row r="11" spans="1:12" x14ac:dyDescent="0.25">
      <c r="A11" t="s">
        <v>15</v>
      </c>
      <c r="B11" s="1">
        <v>41365</v>
      </c>
      <c r="C11" s="3">
        <v>0.41666666666666669</v>
      </c>
      <c r="D11" s="3">
        <v>9.375E-2</v>
      </c>
      <c r="E11" s="2">
        <v>0.17708333333333334</v>
      </c>
      <c r="F11">
        <v>4.25</v>
      </c>
      <c r="G11" s="4">
        <v>85</v>
      </c>
      <c r="H11" s="4">
        <f t="shared" si="0"/>
        <v>361.25</v>
      </c>
    </row>
    <row r="12" spans="1:12" x14ac:dyDescent="0.25">
      <c r="A12" t="s">
        <v>9</v>
      </c>
      <c r="B12" s="1">
        <v>41366</v>
      </c>
      <c r="C12" s="3">
        <v>0.36458333333333331</v>
      </c>
      <c r="D12" s="3">
        <v>0.52083333333333337</v>
      </c>
      <c r="E12" s="2">
        <v>0.15625</v>
      </c>
      <c r="F12">
        <v>3.75</v>
      </c>
      <c r="G12" s="4">
        <v>75</v>
      </c>
      <c r="H12" s="4">
        <f t="shared" si="0"/>
        <v>281.25</v>
      </c>
    </row>
    <row r="13" spans="1:12" x14ac:dyDescent="0.25">
      <c r="A13" t="s">
        <v>10</v>
      </c>
      <c r="B13" s="1">
        <v>41366</v>
      </c>
      <c r="C13" s="3">
        <v>0.36458333333333331</v>
      </c>
      <c r="D13" s="3">
        <v>0.52083333333333337</v>
      </c>
      <c r="E13" s="2">
        <v>0.15625</v>
      </c>
      <c r="F13">
        <v>3.75</v>
      </c>
      <c r="G13" s="4">
        <v>50</v>
      </c>
      <c r="H13" s="4">
        <f t="shared" si="0"/>
        <v>187.5</v>
      </c>
    </row>
    <row r="14" spans="1:12" x14ac:dyDescent="0.25">
      <c r="A14" t="s">
        <v>11</v>
      </c>
      <c r="B14" s="1">
        <v>41366</v>
      </c>
      <c r="C14" s="3">
        <v>0.36458333333333331</v>
      </c>
      <c r="D14" s="3">
        <v>0.52083333333333337</v>
      </c>
      <c r="E14" s="2">
        <v>0.15625</v>
      </c>
      <c r="F14">
        <v>3.75</v>
      </c>
      <c r="G14" s="4">
        <v>75</v>
      </c>
      <c r="H14" s="4">
        <f t="shared" si="0"/>
        <v>281.25</v>
      </c>
    </row>
    <row r="15" spans="1:12" x14ac:dyDescent="0.25">
      <c r="A15" t="s">
        <v>15</v>
      </c>
      <c r="B15" s="1">
        <v>41366</v>
      </c>
      <c r="C15" s="3">
        <v>0.36458333333333331</v>
      </c>
      <c r="D15" s="3">
        <v>0.52083333333333337</v>
      </c>
      <c r="E15" s="2">
        <v>0.15625</v>
      </c>
      <c r="F15">
        <v>3.75</v>
      </c>
      <c r="G15" s="4">
        <v>85</v>
      </c>
      <c r="H15" s="4">
        <f t="shared" si="0"/>
        <v>318.75</v>
      </c>
    </row>
    <row r="16" spans="1:12" x14ac:dyDescent="0.25">
      <c r="A16" t="s">
        <v>16</v>
      </c>
      <c r="B16" s="1">
        <v>41366</v>
      </c>
      <c r="C16" s="3">
        <v>0.36458333333333331</v>
      </c>
      <c r="D16" s="3">
        <v>0.52083333333333337</v>
      </c>
      <c r="E16" s="2">
        <v>0.15625</v>
      </c>
      <c r="F16">
        <v>3.75</v>
      </c>
      <c r="G16" s="4">
        <v>50</v>
      </c>
      <c r="H16" s="4">
        <f t="shared" si="0"/>
        <v>187.5</v>
      </c>
    </row>
    <row r="17" spans="1:8" x14ac:dyDescent="0.25">
      <c r="A17" t="s">
        <v>9</v>
      </c>
      <c r="B17" s="1">
        <v>41367</v>
      </c>
      <c r="C17" s="3">
        <v>0.5625</v>
      </c>
      <c r="D17" s="3">
        <v>0.71875</v>
      </c>
      <c r="E17" s="2">
        <v>0.15625</v>
      </c>
      <c r="F17">
        <v>3.75</v>
      </c>
      <c r="G17" s="4">
        <v>75</v>
      </c>
      <c r="H17" s="4">
        <f t="shared" si="0"/>
        <v>281.25</v>
      </c>
    </row>
    <row r="18" spans="1:8" x14ac:dyDescent="0.25">
      <c r="A18" t="s">
        <v>10</v>
      </c>
      <c r="B18" s="1">
        <v>41367</v>
      </c>
      <c r="C18" s="3">
        <v>0.5625</v>
      </c>
      <c r="D18" s="3">
        <v>0.71875</v>
      </c>
      <c r="E18" s="2">
        <v>0.15625</v>
      </c>
      <c r="F18">
        <v>3.75</v>
      </c>
      <c r="G18" s="4">
        <v>50</v>
      </c>
      <c r="H18" s="4">
        <f t="shared" si="0"/>
        <v>187.5</v>
      </c>
    </row>
    <row r="19" spans="1:8" x14ac:dyDescent="0.25">
      <c r="A19" t="s">
        <v>17</v>
      </c>
      <c r="B19" s="1">
        <v>41367</v>
      </c>
      <c r="C19" s="3">
        <v>0.5625</v>
      </c>
      <c r="D19" s="3">
        <v>0.71875</v>
      </c>
      <c r="E19" s="2">
        <v>0.15625</v>
      </c>
      <c r="F19">
        <v>3.75</v>
      </c>
      <c r="G19" s="4">
        <v>50</v>
      </c>
      <c r="H19" s="4">
        <f t="shared" si="0"/>
        <v>187.5</v>
      </c>
    </row>
    <row r="20" spans="1:8" x14ac:dyDescent="0.25">
      <c r="A20" t="s">
        <v>16</v>
      </c>
      <c r="B20" s="1">
        <v>41367</v>
      </c>
      <c r="C20" s="3">
        <v>0.5625</v>
      </c>
      <c r="D20" s="3">
        <v>0.71875</v>
      </c>
      <c r="E20" s="2">
        <v>0.15625</v>
      </c>
      <c r="F20">
        <v>3.75</v>
      </c>
      <c r="G20" s="4">
        <v>50</v>
      </c>
      <c r="H20" s="4">
        <f t="shared" si="0"/>
        <v>187.5</v>
      </c>
    </row>
    <row r="21" spans="1:8" x14ac:dyDescent="0.25">
      <c r="A21" t="s">
        <v>18</v>
      </c>
      <c r="B21" s="1">
        <v>41368</v>
      </c>
      <c r="C21" s="3">
        <v>0.29166666666666669</v>
      </c>
      <c r="D21" s="3">
        <v>0.40625</v>
      </c>
      <c r="E21" s="2">
        <v>0.11458333333333333</v>
      </c>
      <c r="F21">
        <v>2.75</v>
      </c>
      <c r="G21" s="4">
        <v>75</v>
      </c>
      <c r="H21" s="4">
        <f t="shared" si="0"/>
        <v>206.25</v>
      </c>
    </row>
    <row r="22" spans="1:8" x14ac:dyDescent="0.25">
      <c r="A22" t="s">
        <v>9</v>
      </c>
      <c r="B22" s="1">
        <v>41368</v>
      </c>
      <c r="C22" s="3">
        <v>0.29166666666666669</v>
      </c>
      <c r="D22" s="3">
        <v>0.40625</v>
      </c>
      <c r="E22" s="2">
        <v>0.11458333333333333</v>
      </c>
      <c r="F22">
        <v>2.75</v>
      </c>
      <c r="G22" s="4">
        <v>75</v>
      </c>
      <c r="H22" s="4">
        <f t="shared" si="0"/>
        <v>206.25</v>
      </c>
    </row>
    <row r="23" spans="1:8" x14ac:dyDescent="0.25">
      <c r="A23" t="s">
        <v>10</v>
      </c>
      <c r="B23" s="1">
        <v>41368</v>
      </c>
      <c r="C23" s="3">
        <v>0.29166666666666669</v>
      </c>
      <c r="D23" s="3">
        <v>0.40625</v>
      </c>
      <c r="E23" s="2">
        <v>0.11458333333333333</v>
      </c>
      <c r="F23">
        <v>2.75</v>
      </c>
      <c r="G23" s="4">
        <v>50</v>
      </c>
      <c r="H23" s="4">
        <f t="shared" si="0"/>
        <v>137.5</v>
      </c>
    </row>
    <row r="24" spans="1:8" x14ac:dyDescent="0.25">
      <c r="A24" t="s">
        <v>16</v>
      </c>
      <c r="B24" s="1">
        <v>41368</v>
      </c>
      <c r="C24" s="3">
        <v>0.29166666666666669</v>
      </c>
      <c r="D24" s="3">
        <v>0.40625</v>
      </c>
      <c r="E24" s="2">
        <v>0.11458333333333333</v>
      </c>
      <c r="F24">
        <v>2.75</v>
      </c>
      <c r="G24" s="4">
        <v>50</v>
      </c>
      <c r="H24" s="4">
        <f t="shared" si="0"/>
        <v>137.5</v>
      </c>
    </row>
    <row r="25" spans="1:8" x14ac:dyDescent="0.25">
      <c r="B25" s="1"/>
      <c r="C25" s="3"/>
      <c r="D25" s="3"/>
      <c r="E25" s="2"/>
      <c r="G25" s="4"/>
      <c r="H25" s="4"/>
    </row>
    <row r="26" spans="1:8" x14ac:dyDescent="0.25">
      <c r="B26" s="1"/>
      <c r="C26" s="3"/>
      <c r="D26" s="3"/>
      <c r="E26" s="2"/>
      <c r="G26" s="4"/>
      <c r="H26" s="4"/>
    </row>
    <row r="27" spans="1:8" x14ac:dyDescent="0.25">
      <c r="A27" t="s">
        <v>11</v>
      </c>
      <c r="B27" s="1">
        <v>41369</v>
      </c>
      <c r="C27" s="3">
        <v>0.41666666666666669</v>
      </c>
      <c r="D27" s="3">
        <v>9.375E-2</v>
      </c>
      <c r="E27" s="2">
        <v>0.17708333333333334</v>
      </c>
      <c r="F27">
        <v>4.25</v>
      </c>
      <c r="G27" s="4">
        <v>75</v>
      </c>
      <c r="H27" s="4">
        <f t="shared" si="0"/>
        <v>318.75</v>
      </c>
    </row>
    <row r="28" spans="1:8" x14ac:dyDescent="0.25">
      <c r="A28" t="s">
        <v>12</v>
      </c>
      <c r="B28" s="1">
        <v>41369</v>
      </c>
      <c r="C28" s="3">
        <v>0.41666666666666669</v>
      </c>
      <c r="D28" s="3">
        <v>9.375E-2</v>
      </c>
      <c r="E28" s="2">
        <v>0.17708333333333334</v>
      </c>
      <c r="F28">
        <v>4.25</v>
      </c>
      <c r="G28" s="4">
        <v>85</v>
      </c>
      <c r="H28" s="4">
        <f t="shared" si="0"/>
        <v>361.25</v>
      </c>
    </row>
    <row r="29" spans="1:8" x14ac:dyDescent="0.25">
      <c r="A29" t="s">
        <v>13</v>
      </c>
      <c r="B29" s="1">
        <v>41369</v>
      </c>
      <c r="C29" s="3">
        <v>0.41666666666666669</v>
      </c>
      <c r="D29" s="3">
        <v>9.375E-2</v>
      </c>
      <c r="E29" s="2">
        <v>0.17708333333333334</v>
      </c>
      <c r="F29">
        <v>4.25</v>
      </c>
      <c r="G29" s="4">
        <v>50</v>
      </c>
      <c r="H29" s="4">
        <f t="shared" si="0"/>
        <v>212.5</v>
      </c>
    </row>
    <row r="30" spans="1:8" x14ac:dyDescent="0.25">
      <c r="A30" t="s">
        <v>14</v>
      </c>
      <c r="B30" s="1">
        <v>41369</v>
      </c>
      <c r="C30" s="3">
        <v>0.41666666666666669</v>
      </c>
      <c r="D30" s="3">
        <v>9.375E-2</v>
      </c>
      <c r="E30" s="2">
        <v>0.17708333333333334</v>
      </c>
      <c r="F30">
        <v>4.25</v>
      </c>
      <c r="G30" s="4">
        <v>85</v>
      </c>
      <c r="H30" s="4">
        <f t="shared" si="0"/>
        <v>361.25</v>
      </c>
    </row>
    <row r="31" spans="1:8" x14ac:dyDescent="0.25">
      <c r="A31" t="s">
        <v>15</v>
      </c>
      <c r="B31" s="1">
        <v>41369</v>
      </c>
      <c r="C31" s="3">
        <v>0.41666666666666669</v>
      </c>
      <c r="D31" s="3">
        <v>9.375E-2</v>
      </c>
      <c r="E31" s="2">
        <v>0.17708333333333334</v>
      </c>
      <c r="F31">
        <v>4.25</v>
      </c>
      <c r="G31" s="4">
        <v>85</v>
      </c>
      <c r="H31" s="4">
        <f t="shared" si="0"/>
        <v>361.25</v>
      </c>
    </row>
    <row r="32" spans="1:8" x14ac:dyDescent="0.25">
      <c r="A32" t="s">
        <v>9</v>
      </c>
      <c r="B32" s="1">
        <v>41371</v>
      </c>
      <c r="C32" s="3">
        <v>0.36458333333333331</v>
      </c>
      <c r="D32" s="3">
        <v>0.52083333333333337</v>
      </c>
      <c r="E32" s="2">
        <v>0.15625</v>
      </c>
      <c r="F32">
        <v>3.75</v>
      </c>
      <c r="G32" s="4">
        <v>75</v>
      </c>
      <c r="H32" s="4">
        <f t="shared" si="0"/>
        <v>281.25</v>
      </c>
    </row>
    <row r="33" spans="1:8" x14ac:dyDescent="0.25">
      <c r="A33" t="s">
        <v>10</v>
      </c>
      <c r="B33" s="1">
        <v>41371</v>
      </c>
      <c r="C33" s="3">
        <v>0.36458333333333331</v>
      </c>
      <c r="D33" s="3">
        <v>0.52083333333333337</v>
      </c>
      <c r="E33" s="2">
        <v>0.15625</v>
      </c>
      <c r="F33">
        <v>3.75</v>
      </c>
      <c r="G33" s="4">
        <v>50</v>
      </c>
      <c r="H33" s="4">
        <f t="shared" si="0"/>
        <v>187.5</v>
      </c>
    </row>
    <row r="34" spans="1:8" x14ac:dyDescent="0.25">
      <c r="A34" t="s">
        <v>11</v>
      </c>
      <c r="B34" s="1">
        <v>41371</v>
      </c>
      <c r="C34" s="3">
        <v>0.36458333333333331</v>
      </c>
      <c r="D34" s="3">
        <v>0.52083333333333337</v>
      </c>
      <c r="E34" s="2">
        <v>0.15625</v>
      </c>
      <c r="F34">
        <v>3.75</v>
      </c>
      <c r="G34" s="4">
        <v>75</v>
      </c>
      <c r="H34" s="4">
        <f t="shared" si="0"/>
        <v>281.25</v>
      </c>
    </row>
    <row r="35" spans="1:8" x14ac:dyDescent="0.25">
      <c r="A35" t="s">
        <v>15</v>
      </c>
      <c r="B35" s="1">
        <v>41371</v>
      </c>
      <c r="C35" s="3">
        <v>0.36458333333333331</v>
      </c>
      <c r="D35" s="3">
        <v>0.52083333333333337</v>
      </c>
      <c r="E35" s="2">
        <v>0.15625</v>
      </c>
      <c r="F35">
        <v>3.75</v>
      </c>
      <c r="G35" s="4">
        <v>85</v>
      </c>
      <c r="H35" s="4">
        <f t="shared" si="0"/>
        <v>318.75</v>
      </c>
    </row>
    <row r="36" spans="1:8" x14ac:dyDescent="0.25">
      <c r="A36" t="s">
        <v>16</v>
      </c>
      <c r="B36" s="1">
        <v>41371</v>
      </c>
      <c r="C36" s="3">
        <v>0.36458333333333331</v>
      </c>
      <c r="D36" s="3">
        <v>0.52083333333333337</v>
      </c>
      <c r="E36" s="2">
        <v>0.15625</v>
      </c>
      <c r="F36">
        <v>3.75</v>
      </c>
      <c r="G36" s="4">
        <v>50</v>
      </c>
      <c r="H36" s="4">
        <f t="shared" si="0"/>
        <v>187.5</v>
      </c>
    </row>
    <row r="37" spans="1:8" x14ac:dyDescent="0.25">
      <c r="A37" t="s">
        <v>9</v>
      </c>
      <c r="B37" s="1">
        <v>41372</v>
      </c>
      <c r="C37" s="3">
        <v>0.5625</v>
      </c>
      <c r="D37" s="3">
        <v>0.71875</v>
      </c>
      <c r="E37" s="2">
        <v>0.15625</v>
      </c>
      <c r="F37">
        <v>3.75</v>
      </c>
      <c r="G37" s="4">
        <v>75</v>
      </c>
      <c r="H37" s="4">
        <f t="shared" si="0"/>
        <v>281.25</v>
      </c>
    </row>
    <row r="38" spans="1:8" x14ac:dyDescent="0.25">
      <c r="A38" t="s">
        <v>10</v>
      </c>
      <c r="B38" s="1">
        <v>41372</v>
      </c>
      <c r="C38" s="3">
        <v>0.5625</v>
      </c>
      <c r="D38" s="3">
        <v>0.71875</v>
      </c>
      <c r="E38" s="2">
        <v>0.15625</v>
      </c>
      <c r="F38">
        <v>3.75</v>
      </c>
      <c r="G38" s="4">
        <v>50</v>
      </c>
      <c r="H38" s="4">
        <f t="shared" si="0"/>
        <v>187.5</v>
      </c>
    </row>
    <row r="39" spans="1:8" x14ac:dyDescent="0.25">
      <c r="A39" t="s">
        <v>17</v>
      </c>
      <c r="B39" s="1">
        <v>41372</v>
      </c>
      <c r="C39" s="3">
        <v>0.5625</v>
      </c>
      <c r="D39" s="3">
        <v>0.71875</v>
      </c>
      <c r="E39" s="2">
        <v>0.15625</v>
      </c>
      <c r="F39">
        <v>3.75</v>
      </c>
      <c r="G39" s="4">
        <v>50</v>
      </c>
      <c r="H39" s="4">
        <f t="shared" si="0"/>
        <v>187.5</v>
      </c>
    </row>
    <row r="40" spans="1:8" x14ac:dyDescent="0.25">
      <c r="A40" t="s">
        <v>16</v>
      </c>
      <c r="B40" s="1">
        <v>41372</v>
      </c>
      <c r="C40" s="3">
        <v>0.5625</v>
      </c>
      <c r="D40" s="3">
        <v>0.71875</v>
      </c>
      <c r="E40" s="2">
        <v>0.15625</v>
      </c>
      <c r="F40">
        <v>3.75</v>
      </c>
      <c r="G40" s="4">
        <v>50</v>
      </c>
      <c r="H40" s="4">
        <f t="shared" si="0"/>
        <v>187.5</v>
      </c>
    </row>
    <row r="41" spans="1:8" x14ac:dyDescent="0.25">
      <c r="A41" t="s">
        <v>18</v>
      </c>
      <c r="B41" s="1">
        <v>41373</v>
      </c>
      <c r="C41" s="3">
        <v>0.29166666666666669</v>
      </c>
      <c r="D41" s="3">
        <v>0.40625</v>
      </c>
      <c r="E41" s="2">
        <v>0.11458333333333333</v>
      </c>
      <c r="F41">
        <v>2.75</v>
      </c>
      <c r="G41" s="4">
        <v>75</v>
      </c>
      <c r="H41" s="4">
        <f t="shared" si="0"/>
        <v>206.25</v>
      </c>
    </row>
    <row r="42" spans="1:8" x14ac:dyDescent="0.25">
      <c r="A42" t="s">
        <v>9</v>
      </c>
      <c r="B42" s="1">
        <v>41373</v>
      </c>
      <c r="C42" s="3">
        <v>0.29166666666666669</v>
      </c>
      <c r="D42" s="3">
        <v>0.40625</v>
      </c>
      <c r="E42" s="2">
        <v>0.11458333333333333</v>
      </c>
      <c r="F42">
        <v>2.75</v>
      </c>
      <c r="G42" s="4">
        <v>75</v>
      </c>
      <c r="H42" s="4">
        <f t="shared" si="0"/>
        <v>206.25</v>
      </c>
    </row>
    <row r="43" spans="1:8" x14ac:dyDescent="0.25">
      <c r="A43" t="s">
        <v>10</v>
      </c>
      <c r="B43" s="1">
        <v>41373</v>
      </c>
      <c r="C43" s="3">
        <v>0.29166666666666669</v>
      </c>
      <c r="D43" s="3">
        <v>0.40625</v>
      </c>
      <c r="E43" s="2">
        <v>0.11458333333333333</v>
      </c>
      <c r="F43">
        <v>2.75</v>
      </c>
      <c r="G43" s="4">
        <v>50</v>
      </c>
      <c r="H43" s="4">
        <f t="shared" si="0"/>
        <v>137.5</v>
      </c>
    </row>
    <row r="44" spans="1:8" x14ac:dyDescent="0.25">
      <c r="A44" t="s">
        <v>16</v>
      </c>
      <c r="B44" s="1">
        <v>41373</v>
      </c>
      <c r="C44" s="3">
        <v>0.29166666666666669</v>
      </c>
      <c r="D44" s="3">
        <v>0.40625</v>
      </c>
      <c r="E44" s="2">
        <v>0.11458333333333333</v>
      </c>
      <c r="F44">
        <v>2.75</v>
      </c>
      <c r="G44" s="4">
        <v>50</v>
      </c>
      <c r="H44" s="4">
        <f t="shared" si="0"/>
        <v>137.5</v>
      </c>
    </row>
    <row r="48" spans="1:8" ht="18.75" x14ac:dyDescent="0.3">
      <c r="A48" s="8" t="s">
        <v>41</v>
      </c>
    </row>
    <row r="49" spans="2:5" ht="15.75" x14ac:dyDescent="0.25">
      <c r="B49" s="9" t="s">
        <v>43</v>
      </c>
      <c r="C49" s="10"/>
      <c r="D49" s="10"/>
      <c r="E49" s="11"/>
    </row>
    <row r="50" spans="2:5" ht="15.75" x14ac:dyDescent="0.25">
      <c r="B50" s="10"/>
      <c r="C50" s="9" t="s">
        <v>19</v>
      </c>
      <c r="D50" s="10"/>
      <c r="E50" s="11"/>
    </row>
    <row r="51" spans="2:5" ht="15.75" x14ac:dyDescent="0.25">
      <c r="B51" s="10"/>
      <c r="C51" s="10"/>
      <c r="D51" s="9" t="s">
        <v>51</v>
      </c>
      <c r="E51" s="11"/>
    </row>
    <row r="52" spans="2:5" ht="15.75" x14ac:dyDescent="0.25">
      <c r="B52" s="10"/>
      <c r="C52" s="9" t="s">
        <v>20</v>
      </c>
      <c r="D52" s="10"/>
      <c r="E52" s="11"/>
    </row>
    <row r="53" spans="2:5" ht="15.75" x14ac:dyDescent="0.25">
      <c r="B53" s="10"/>
      <c r="C53" s="10"/>
      <c r="D53" s="9" t="s">
        <v>52</v>
      </c>
      <c r="E53" s="11"/>
    </row>
    <row r="54" spans="2:5" ht="15.75" x14ac:dyDescent="0.25">
      <c r="B54" s="10"/>
      <c r="C54" s="9" t="s">
        <v>21</v>
      </c>
      <c r="D54" s="10"/>
      <c r="E54" s="11"/>
    </row>
    <row r="55" spans="2:5" ht="15.75" x14ac:dyDescent="0.25">
      <c r="B55" s="10"/>
      <c r="C55" s="10"/>
      <c r="D55" s="9" t="s">
        <v>55</v>
      </c>
      <c r="E55" s="11"/>
    </row>
    <row r="56" spans="2:5" ht="15.75" x14ac:dyDescent="0.25">
      <c r="B56" s="10"/>
      <c r="C56" s="9" t="s">
        <v>22</v>
      </c>
      <c r="D56" s="10"/>
      <c r="E56" s="11"/>
    </row>
    <row r="57" spans="2:5" ht="15.75" x14ac:dyDescent="0.25">
      <c r="B57" s="10"/>
      <c r="C57" s="9" t="s">
        <v>23</v>
      </c>
      <c r="D57" s="10"/>
      <c r="E57" s="11"/>
    </row>
    <row r="58" spans="2:5" ht="15.75" x14ac:dyDescent="0.25">
      <c r="B58" s="10"/>
      <c r="C58" s="10" t="s">
        <v>24</v>
      </c>
      <c r="D58" s="11"/>
      <c r="E58" s="11"/>
    </row>
    <row r="59" spans="2:5" ht="15.75" x14ac:dyDescent="0.25">
      <c r="B59" s="9" t="s">
        <v>38</v>
      </c>
      <c r="D59" s="10"/>
      <c r="E59" s="11"/>
    </row>
    <row r="60" spans="2:5" ht="15.75" x14ac:dyDescent="0.25">
      <c r="B60" s="10"/>
      <c r="C60" s="9" t="s">
        <v>25</v>
      </c>
      <c r="D60" s="10"/>
      <c r="E60" s="11"/>
    </row>
    <row r="61" spans="2:5" ht="15.75" x14ac:dyDescent="0.25">
      <c r="B61" s="10"/>
      <c r="C61" s="10"/>
      <c r="D61" s="9" t="s">
        <v>36</v>
      </c>
      <c r="E61" s="11"/>
    </row>
    <row r="62" spans="2:5" ht="15.75" x14ac:dyDescent="0.25">
      <c r="B62" s="10"/>
      <c r="C62" s="10"/>
      <c r="D62" s="9" t="s">
        <v>27</v>
      </c>
      <c r="E62" s="11"/>
    </row>
    <row r="63" spans="2:5" ht="15.75" x14ac:dyDescent="0.25">
      <c r="B63" s="10"/>
      <c r="C63" s="9" t="s">
        <v>26</v>
      </c>
      <c r="D63" s="10"/>
      <c r="E63" s="11"/>
    </row>
    <row r="64" spans="2:5" ht="15.75" x14ac:dyDescent="0.25">
      <c r="B64" s="10"/>
      <c r="C64" s="10"/>
      <c r="D64" s="9" t="s">
        <v>37</v>
      </c>
      <c r="E64" s="11"/>
    </row>
    <row r="65" spans="1:5" ht="18.75" x14ac:dyDescent="0.3">
      <c r="B65" s="12"/>
      <c r="C65" s="10"/>
      <c r="D65" s="9" t="s">
        <v>56</v>
      </c>
      <c r="E65" s="11"/>
    </row>
    <row r="66" spans="1:5" x14ac:dyDescent="0.25">
      <c r="B66" s="11"/>
      <c r="C66" s="11" t="s">
        <v>33</v>
      </c>
      <c r="D66" s="11"/>
      <c r="E66" s="11"/>
    </row>
    <row r="67" spans="1:5" x14ac:dyDescent="0.25">
      <c r="B67" s="11"/>
      <c r="C67" s="11" t="s">
        <v>34</v>
      </c>
      <c r="D67" s="11"/>
      <c r="E67" s="11"/>
    </row>
    <row r="68" spans="1:5" x14ac:dyDescent="0.25">
      <c r="B68" s="11"/>
      <c r="C68" s="11" t="s">
        <v>35</v>
      </c>
      <c r="D68" s="11"/>
      <c r="E68" s="11"/>
    </row>
    <row r="69" spans="1:5" x14ac:dyDescent="0.25">
      <c r="C69" s="11" t="s">
        <v>49</v>
      </c>
    </row>
    <row r="70" spans="1:5" ht="18.75" x14ac:dyDescent="0.3">
      <c r="A70" s="8" t="s">
        <v>40</v>
      </c>
    </row>
    <row r="71" spans="1:5" ht="15.75" x14ac:dyDescent="0.25">
      <c r="A71" s="6"/>
      <c r="B71" s="9" t="s">
        <v>53</v>
      </c>
      <c r="C71" s="7"/>
    </row>
    <row r="72" spans="1:5" ht="15.75" x14ac:dyDescent="0.25">
      <c r="A72" s="7"/>
      <c r="C72" s="9" t="s">
        <v>19</v>
      </c>
      <c r="D72" s="10"/>
    </row>
    <row r="73" spans="1:5" ht="15.75" x14ac:dyDescent="0.25">
      <c r="A73" s="7"/>
      <c r="C73" s="10"/>
      <c r="D73" s="9" t="s">
        <v>51</v>
      </c>
    </row>
    <row r="74" spans="1:5" ht="15.75" x14ac:dyDescent="0.25">
      <c r="A74" s="7"/>
      <c r="C74" s="9" t="s">
        <v>20</v>
      </c>
      <c r="D74" s="10"/>
    </row>
    <row r="75" spans="1:5" ht="15.75" x14ac:dyDescent="0.25">
      <c r="A75" s="7"/>
      <c r="C75" s="10"/>
      <c r="D75" s="9" t="s">
        <v>55</v>
      </c>
    </row>
    <row r="76" spans="1:5" ht="15.75" x14ac:dyDescent="0.25">
      <c r="A76" s="7"/>
      <c r="C76" s="9" t="s">
        <v>21</v>
      </c>
      <c r="D76" s="10"/>
    </row>
    <row r="77" spans="1:5" ht="15.75" x14ac:dyDescent="0.25">
      <c r="A77" s="7"/>
      <c r="C77" s="10"/>
      <c r="D77" s="9" t="s">
        <v>57</v>
      </c>
    </row>
    <row r="78" spans="1:5" ht="15.75" x14ac:dyDescent="0.25">
      <c r="A78" s="7"/>
      <c r="C78" s="9" t="s">
        <v>29</v>
      </c>
      <c r="D78" s="10"/>
    </row>
    <row r="79" spans="1:5" ht="15.75" x14ac:dyDescent="0.25">
      <c r="A79" s="7"/>
      <c r="C79" s="9" t="s">
        <v>39</v>
      </c>
      <c r="D79" s="10"/>
    </row>
    <row r="80" spans="1:5" ht="15.75" x14ac:dyDescent="0.25">
      <c r="A80" s="7"/>
      <c r="C80" s="9" t="s">
        <v>25</v>
      </c>
      <c r="D80" s="10"/>
    </row>
    <row r="81" spans="1:4" ht="15.75" x14ac:dyDescent="0.25">
      <c r="A81" s="7"/>
      <c r="C81" s="10"/>
      <c r="D81" s="9" t="s">
        <v>58</v>
      </c>
    </row>
    <row r="82" spans="1:4" ht="15.75" x14ac:dyDescent="0.25">
      <c r="A82" s="7"/>
      <c r="C82" s="10"/>
      <c r="D82" s="9" t="s">
        <v>59</v>
      </c>
    </row>
    <row r="83" spans="1:4" ht="15.75" x14ac:dyDescent="0.25">
      <c r="A83" s="7"/>
      <c r="C83" s="9" t="s">
        <v>30</v>
      </c>
      <c r="D83" s="11"/>
    </row>
    <row r="84" spans="1:4" ht="15.75" x14ac:dyDescent="0.25">
      <c r="A84" s="7"/>
      <c r="C84" s="9" t="s">
        <v>31</v>
      </c>
      <c r="D84" s="11"/>
    </row>
    <row r="85" spans="1:4" ht="15.75" x14ac:dyDescent="0.25">
      <c r="A85" s="7"/>
      <c r="C85" s="9" t="s">
        <v>32</v>
      </c>
      <c r="D85" s="10"/>
    </row>
    <row r="86" spans="1:4" ht="15.75" x14ac:dyDescent="0.25">
      <c r="C86" s="9" t="s">
        <v>60</v>
      </c>
      <c r="D86" t="s">
        <v>63</v>
      </c>
    </row>
    <row r="87" spans="1:4" ht="15.75" x14ac:dyDescent="0.25">
      <c r="C87" s="9" t="s">
        <v>50</v>
      </c>
    </row>
    <row r="88" spans="1:4" ht="18.75" x14ac:dyDescent="0.3">
      <c r="A88" s="8" t="s">
        <v>42</v>
      </c>
    </row>
    <row r="89" spans="1:4" ht="15.75" x14ac:dyDescent="0.25">
      <c r="B89" s="9" t="s">
        <v>53</v>
      </c>
      <c r="C89" s="7"/>
    </row>
    <row r="90" spans="1:4" ht="15.75" x14ac:dyDescent="0.25">
      <c r="C90" s="9" t="s">
        <v>45</v>
      </c>
    </row>
    <row r="91" spans="1:4" ht="15.75" x14ac:dyDescent="0.25">
      <c r="C91" s="9" t="s">
        <v>61</v>
      </c>
    </row>
    <row r="92" spans="1:4" ht="15.75" x14ac:dyDescent="0.25">
      <c r="C92" s="9" t="s">
        <v>48</v>
      </c>
    </row>
    <row r="94" spans="1:4" x14ac:dyDescent="0.25">
      <c r="A94" t="s">
        <v>62</v>
      </c>
    </row>
  </sheetData>
  <autoFilter ref="A4:H44" xr:uid="{00000000-0009-0000-0000-000000000000}"/>
  <mergeCells count="1">
    <mergeCell ref="A3:H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showGridLines="0" workbookViewId="0">
      <pane ySplit="1" topLeftCell="A2" activePane="bottomLeft" state="frozen"/>
      <selection activeCell="I1" sqref="I1"/>
      <selection pane="bottomLeft" activeCell="K20" sqref="K20"/>
    </sheetView>
  </sheetViews>
  <sheetFormatPr defaultColWidth="9.140625" defaultRowHeight="15" x14ac:dyDescent="0.25"/>
  <cols>
    <col min="1" max="1" width="6.28515625" bestFit="1" customWidth="1"/>
    <col min="2" max="2" width="7.42578125" bestFit="1" customWidth="1"/>
    <col min="3" max="3" width="13.85546875" customWidth="1"/>
    <col min="4" max="5" width="12.42578125" bestFit="1" customWidth="1"/>
    <col min="6" max="6" width="5.28515625" bestFit="1" customWidth="1"/>
    <col min="7" max="7" width="8.42578125" bestFit="1" customWidth="1"/>
    <col min="8" max="8" width="17.285156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t="s">
        <v>8</v>
      </c>
      <c r="B2" t="s">
        <v>18</v>
      </c>
      <c r="C2" s="1">
        <v>41368</v>
      </c>
      <c r="D2" s="3">
        <v>0.29166666666666669</v>
      </c>
      <c r="E2" s="3">
        <v>0.40625</v>
      </c>
      <c r="F2" s="2">
        <v>0.11458333333333333</v>
      </c>
      <c r="G2">
        <v>2.75</v>
      </c>
      <c r="H2" s="4">
        <v>962.5</v>
      </c>
    </row>
    <row r="3" spans="1:8" x14ac:dyDescent="0.25">
      <c r="A3" t="s">
        <v>8</v>
      </c>
      <c r="B3" t="s">
        <v>9</v>
      </c>
      <c r="C3" s="1">
        <v>41365</v>
      </c>
      <c r="D3" s="3">
        <v>0.41666666666666669</v>
      </c>
      <c r="E3" s="3">
        <v>9.375E-2</v>
      </c>
      <c r="F3" s="2">
        <v>0.17708333333333334</v>
      </c>
      <c r="G3">
        <v>4.25</v>
      </c>
      <c r="H3" s="4">
        <v>510</v>
      </c>
    </row>
    <row r="4" spans="1:8" x14ac:dyDescent="0.25">
      <c r="A4" t="s">
        <v>8</v>
      </c>
      <c r="B4" t="s">
        <v>9</v>
      </c>
      <c r="C4" s="1">
        <v>41366</v>
      </c>
      <c r="D4" s="3">
        <v>0.36458333333333331</v>
      </c>
      <c r="E4" s="3">
        <v>0.52083333333333337</v>
      </c>
      <c r="F4" s="2">
        <v>0.15625</v>
      </c>
      <c r="G4">
        <v>3.75</v>
      </c>
      <c r="H4" s="4">
        <v>450</v>
      </c>
    </row>
    <row r="5" spans="1:8" x14ac:dyDescent="0.25">
      <c r="A5" t="s">
        <v>8</v>
      </c>
      <c r="B5" t="s">
        <v>9</v>
      </c>
      <c r="C5" s="1">
        <v>41367</v>
      </c>
      <c r="D5" s="3">
        <v>0.5625</v>
      </c>
      <c r="E5" s="3">
        <v>0.71875</v>
      </c>
      <c r="F5" s="2">
        <v>0.15625</v>
      </c>
      <c r="G5">
        <v>3.75</v>
      </c>
      <c r="H5" s="4">
        <v>450</v>
      </c>
    </row>
    <row r="6" spans="1:8" x14ac:dyDescent="0.25">
      <c r="A6" t="s">
        <v>8</v>
      </c>
      <c r="B6" t="s">
        <v>9</v>
      </c>
      <c r="C6" s="1">
        <v>41368</v>
      </c>
      <c r="D6" s="3">
        <v>0.29166666666666669</v>
      </c>
      <c r="E6" s="3">
        <v>0.40625</v>
      </c>
      <c r="F6" s="2">
        <v>0.11458333333333333</v>
      </c>
      <c r="G6">
        <v>2.75</v>
      </c>
      <c r="H6" s="4">
        <v>330</v>
      </c>
    </row>
    <row r="7" spans="1:8" x14ac:dyDescent="0.25">
      <c r="A7" t="s">
        <v>8</v>
      </c>
      <c r="B7" t="s">
        <v>10</v>
      </c>
      <c r="C7" s="1">
        <v>41365</v>
      </c>
      <c r="D7" s="3">
        <v>0.41666666666666669</v>
      </c>
      <c r="E7" s="3">
        <v>9.375E-2</v>
      </c>
      <c r="F7" s="2">
        <v>0.17708333333333334</v>
      </c>
      <c r="G7">
        <v>4.25</v>
      </c>
      <c r="H7" s="4">
        <v>318.75</v>
      </c>
    </row>
    <row r="8" spans="1:8" x14ac:dyDescent="0.25">
      <c r="A8" t="s">
        <v>8</v>
      </c>
      <c r="B8" t="s">
        <v>10</v>
      </c>
      <c r="C8" s="1">
        <v>41366</v>
      </c>
      <c r="D8" s="3">
        <v>0.36458333333333331</v>
      </c>
      <c r="E8" s="3">
        <v>0.52083333333333337</v>
      </c>
      <c r="F8" s="2">
        <v>0.15625</v>
      </c>
      <c r="G8">
        <v>3.75</v>
      </c>
      <c r="H8" s="4">
        <v>281.25</v>
      </c>
    </row>
    <row r="9" spans="1:8" x14ac:dyDescent="0.25">
      <c r="A9" t="s">
        <v>8</v>
      </c>
      <c r="B9" t="s">
        <v>10</v>
      </c>
      <c r="C9" s="1">
        <v>41367</v>
      </c>
      <c r="D9" s="3">
        <v>0.5625</v>
      </c>
      <c r="E9" s="3">
        <v>0.71875</v>
      </c>
      <c r="F9" s="2">
        <v>0.15625</v>
      </c>
      <c r="G9">
        <v>3.75</v>
      </c>
      <c r="H9" s="4">
        <v>281.25</v>
      </c>
    </row>
    <row r="10" spans="1:8" x14ac:dyDescent="0.25">
      <c r="A10" t="s">
        <v>8</v>
      </c>
      <c r="B10" t="s">
        <v>10</v>
      </c>
      <c r="C10" s="1">
        <v>41368</v>
      </c>
      <c r="D10" s="3">
        <v>0.29166666666666669</v>
      </c>
      <c r="E10" s="3">
        <v>0.40625</v>
      </c>
      <c r="F10" s="2">
        <v>0.11458333333333333</v>
      </c>
      <c r="G10">
        <v>2.75</v>
      </c>
      <c r="H10" s="4">
        <v>206.25</v>
      </c>
    </row>
    <row r="11" spans="1:8" x14ac:dyDescent="0.25">
      <c r="A11" t="s">
        <v>8</v>
      </c>
      <c r="B11" t="s">
        <v>11</v>
      </c>
      <c r="C11" s="1">
        <v>41365</v>
      </c>
      <c r="D11" s="3">
        <v>0.41666666666666669</v>
      </c>
      <c r="E11" s="3">
        <v>9.375E-2</v>
      </c>
      <c r="F11" s="2">
        <v>0.17708333333333334</v>
      </c>
      <c r="G11">
        <v>4.25</v>
      </c>
      <c r="H11" s="4">
        <v>680</v>
      </c>
    </row>
    <row r="12" spans="1:8" x14ac:dyDescent="0.25">
      <c r="A12" t="s">
        <v>8</v>
      </c>
      <c r="B12" t="s">
        <v>11</v>
      </c>
      <c r="C12" s="1">
        <v>41366</v>
      </c>
      <c r="D12" s="3">
        <v>0.36458333333333331</v>
      </c>
      <c r="E12" s="3">
        <v>0.52083333333333337</v>
      </c>
      <c r="F12" s="2">
        <v>0.15625</v>
      </c>
      <c r="G12">
        <v>3.75</v>
      </c>
      <c r="H12" s="4">
        <v>600</v>
      </c>
    </row>
    <row r="13" spans="1:8" x14ac:dyDescent="0.25">
      <c r="A13" t="s">
        <v>8</v>
      </c>
      <c r="B13" t="s">
        <v>12</v>
      </c>
      <c r="C13" s="1">
        <v>41365</v>
      </c>
      <c r="D13" s="3">
        <v>0.41666666666666669</v>
      </c>
      <c r="E13" s="3">
        <v>9.375E-2</v>
      </c>
      <c r="F13" s="2">
        <v>0.17708333333333334</v>
      </c>
      <c r="G13">
        <v>4.25</v>
      </c>
      <c r="H13" s="4">
        <v>318.75</v>
      </c>
    </row>
    <row r="14" spans="1:8" x14ac:dyDescent="0.25">
      <c r="A14" t="s">
        <v>8</v>
      </c>
      <c r="B14" t="s">
        <v>13</v>
      </c>
      <c r="C14" s="1">
        <v>41365</v>
      </c>
      <c r="D14" s="3">
        <v>0.41666666666666669</v>
      </c>
      <c r="E14" s="3">
        <v>9.375E-2</v>
      </c>
      <c r="F14" s="2">
        <v>0.17708333333333334</v>
      </c>
      <c r="G14">
        <v>4.25</v>
      </c>
      <c r="H14" s="4">
        <v>318.75</v>
      </c>
    </row>
    <row r="15" spans="1:8" x14ac:dyDescent="0.25">
      <c r="A15" t="s">
        <v>8</v>
      </c>
      <c r="B15" t="s">
        <v>14</v>
      </c>
      <c r="C15" s="1">
        <v>41365</v>
      </c>
      <c r="D15" s="3">
        <v>0.41666666666666669</v>
      </c>
      <c r="E15" s="3">
        <v>9.375E-2</v>
      </c>
      <c r="F15" s="2">
        <v>0.17708333333333334</v>
      </c>
      <c r="G15">
        <v>4.25</v>
      </c>
      <c r="H15" s="4">
        <v>382.5</v>
      </c>
    </row>
    <row r="16" spans="1:8" x14ac:dyDescent="0.25">
      <c r="A16" t="s">
        <v>8</v>
      </c>
      <c r="B16" t="s">
        <v>17</v>
      </c>
      <c r="C16" s="1">
        <v>41367</v>
      </c>
      <c r="D16" s="3">
        <v>0.5625</v>
      </c>
      <c r="E16" s="3">
        <v>0.71875</v>
      </c>
      <c r="F16" s="2">
        <v>0.15625</v>
      </c>
      <c r="G16">
        <v>3.75</v>
      </c>
      <c r="H16" s="4">
        <v>468.75</v>
      </c>
    </row>
    <row r="17" spans="1:8" x14ac:dyDescent="0.25">
      <c r="A17" t="s">
        <v>8</v>
      </c>
      <c r="B17" t="s">
        <v>15</v>
      </c>
      <c r="C17" s="1">
        <v>41365</v>
      </c>
      <c r="D17" s="3">
        <v>0.41666666666666669</v>
      </c>
      <c r="E17" s="3">
        <v>9.375E-2</v>
      </c>
      <c r="F17" s="2">
        <v>0.17708333333333334</v>
      </c>
      <c r="G17">
        <v>4.25</v>
      </c>
      <c r="H17" s="4">
        <v>2868.75</v>
      </c>
    </row>
    <row r="18" spans="1:8" x14ac:dyDescent="0.25">
      <c r="A18" t="s">
        <v>8</v>
      </c>
      <c r="B18" t="s">
        <v>15</v>
      </c>
      <c r="C18" s="1">
        <v>41366</v>
      </c>
      <c r="D18" s="3">
        <v>0.36458333333333331</v>
      </c>
      <c r="E18" s="3">
        <v>0.52083333333333337</v>
      </c>
      <c r="F18" s="2">
        <v>0.15625</v>
      </c>
      <c r="G18">
        <v>3.75</v>
      </c>
      <c r="H18" s="4">
        <v>2531.25</v>
      </c>
    </row>
    <row r="19" spans="1:8" x14ac:dyDescent="0.25">
      <c r="A19" t="s">
        <v>8</v>
      </c>
      <c r="B19" t="s">
        <v>16</v>
      </c>
      <c r="C19" s="1">
        <v>41366</v>
      </c>
      <c r="D19" s="3">
        <v>0.36458333333333331</v>
      </c>
      <c r="E19" s="3">
        <v>0.52083333333333337</v>
      </c>
      <c r="F19" s="2">
        <v>0.15625</v>
      </c>
      <c r="G19">
        <v>3.75</v>
      </c>
      <c r="H19" s="4">
        <v>450</v>
      </c>
    </row>
    <row r="20" spans="1:8" x14ac:dyDescent="0.25">
      <c r="A20" t="s">
        <v>8</v>
      </c>
      <c r="B20" t="s">
        <v>16</v>
      </c>
      <c r="C20" s="1">
        <v>41367</v>
      </c>
      <c r="D20" s="3">
        <v>0.5625</v>
      </c>
      <c r="E20" s="3">
        <v>0.71875</v>
      </c>
      <c r="F20" s="2">
        <v>0.15625</v>
      </c>
      <c r="G20">
        <v>3.75</v>
      </c>
      <c r="H20" s="4">
        <v>450</v>
      </c>
    </row>
    <row r="21" spans="1:8" x14ac:dyDescent="0.25">
      <c r="A21" t="s">
        <v>8</v>
      </c>
      <c r="B21" t="s">
        <v>16</v>
      </c>
      <c r="C21" s="1">
        <v>41368</v>
      </c>
      <c r="D21" s="3">
        <v>0.29166666666666669</v>
      </c>
      <c r="E21" s="3">
        <v>0.40625</v>
      </c>
      <c r="F21" s="2">
        <v>0.11458333333333333</v>
      </c>
      <c r="G21">
        <v>2.75</v>
      </c>
      <c r="H21" s="4">
        <v>330</v>
      </c>
    </row>
    <row r="23" spans="1:8" x14ac:dyDescent="0.25">
      <c r="B23" s="5" t="s">
        <v>44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  <c r="H23" s="5" t="s">
        <v>7</v>
      </c>
    </row>
    <row r="24" spans="1:8" x14ac:dyDescent="0.25">
      <c r="B24" t="s">
        <v>18</v>
      </c>
      <c r="C24" s="1">
        <v>41368</v>
      </c>
      <c r="D24" s="3">
        <v>0.29166666666666669</v>
      </c>
      <c r="E24" s="3">
        <v>0.40625</v>
      </c>
      <c r="F24" s="2">
        <v>0.11458333333333333</v>
      </c>
      <c r="G24">
        <v>2.75</v>
      </c>
      <c r="H24" s="4">
        <v>962.5</v>
      </c>
    </row>
    <row r="25" spans="1:8" x14ac:dyDescent="0.25">
      <c r="B25" t="s">
        <v>9</v>
      </c>
      <c r="C25" s="1">
        <v>41365</v>
      </c>
      <c r="D25" s="3">
        <v>0.41666666666666669</v>
      </c>
      <c r="E25" s="3">
        <v>9.375E-2</v>
      </c>
      <c r="F25" s="2">
        <v>0.17708333333333334</v>
      </c>
      <c r="G25">
        <v>4.25</v>
      </c>
      <c r="H25" s="4">
        <v>510</v>
      </c>
    </row>
    <row r="26" spans="1:8" x14ac:dyDescent="0.25">
      <c r="B26" t="s">
        <v>9</v>
      </c>
      <c r="C26" s="1">
        <v>41366</v>
      </c>
      <c r="D26" s="3">
        <v>0.36458333333333331</v>
      </c>
      <c r="E26" s="3">
        <v>0.52083333333333337</v>
      </c>
      <c r="F26" s="2">
        <v>0.15625</v>
      </c>
      <c r="G26">
        <v>3.75</v>
      </c>
      <c r="H26" s="4">
        <v>450</v>
      </c>
    </row>
    <row r="27" spans="1:8" x14ac:dyDescent="0.25">
      <c r="B27" t="s">
        <v>9</v>
      </c>
      <c r="C27" s="1">
        <v>41367</v>
      </c>
      <c r="D27" s="3">
        <v>0.5625</v>
      </c>
      <c r="E27" s="3">
        <v>0.71875</v>
      </c>
      <c r="F27" s="2">
        <v>0.15625</v>
      </c>
      <c r="G27">
        <v>3.75</v>
      </c>
      <c r="H27" s="4">
        <v>450</v>
      </c>
    </row>
    <row r="28" spans="1:8" x14ac:dyDescent="0.25">
      <c r="B28" t="s">
        <v>9</v>
      </c>
      <c r="C28" s="1">
        <v>41368</v>
      </c>
      <c r="D28" s="3">
        <v>0.29166666666666669</v>
      </c>
      <c r="E28" s="3">
        <v>0.40625</v>
      </c>
      <c r="F28" s="2">
        <v>0.11458333333333333</v>
      </c>
      <c r="G28">
        <v>2.75</v>
      </c>
      <c r="H28" s="4">
        <v>330</v>
      </c>
    </row>
    <row r="29" spans="1:8" x14ac:dyDescent="0.25">
      <c r="C29" s="1"/>
      <c r="D29" s="3"/>
      <c r="E29" s="3"/>
      <c r="F29" s="2"/>
      <c r="H29" s="4"/>
    </row>
    <row r="30" spans="1:8" x14ac:dyDescent="0.25">
      <c r="B30" t="s">
        <v>10</v>
      </c>
      <c r="C30" s="1">
        <v>41365</v>
      </c>
      <c r="D30" s="3">
        <v>0.41666666666666669</v>
      </c>
      <c r="E30" s="3">
        <v>9.375E-2</v>
      </c>
      <c r="F30" s="2">
        <v>0.17708333333333334</v>
      </c>
      <c r="G30">
        <v>4.25</v>
      </c>
      <c r="H30" s="4">
        <v>318.75</v>
      </c>
    </row>
    <row r="31" spans="1:8" x14ac:dyDescent="0.25">
      <c r="B31" t="s">
        <v>10</v>
      </c>
      <c r="C31" s="1">
        <v>41366</v>
      </c>
      <c r="D31" s="3">
        <v>0.36458333333333331</v>
      </c>
      <c r="E31" s="3">
        <v>0.52083333333333337</v>
      </c>
      <c r="F31" s="2">
        <v>0.15625</v>
      </c>
      <c r="G31">
        <v>3.75</v>
      </c>
      <c r="H31" s="4">
        <v>281.25</v>
      </c>
    </row>
    <row r="32" spans="1:8" x14ac:dyDescent="0.25">
      <c r="B32" t="s">
        <v>10</v>
      </c>
      <c r="C32" s="1">
        <v>41367</v>
      </c>
      <c r="D32" s="3">
        <v>0.5625</v>
      </c>
      <c r="E32" s="3">
        <v>0.71875</v>
      </c>
      <c r="F32" s="2">
        <v>0.15625</v>
      </c>
      <c r="G32">
        <v>3.75</v>
      </c>
      <c r="H32" s="4">
        <v>281.25</v>
      </c>
    </row>
    <row r="33" spans="1:8" x14ac:dyDescent="0.25">
      <c r="B33" t="s">
        <v>10</v>
      </c>
      <c r="C33" s="1">
        <v>41368</v>
      </c>
      <c r="D33" s="3">
        <v>0.29166666666666669</v>
      </c>
      <c r="E33" s="3">
        <v>0.40625</v>
      </c>
      <c r="F33" s="2">
        <v>0.11458333333333333</v>
      </c>
      <c r="G33">
        <v>2.75</v>
      </c>
      <c r="H33" s="4">
        <v>206.25</v>
      </c>
    </row>
    <row r="34" spans="1:8" x14ac:dyDescent="0.25">
      <c r="B34" t="s">
        <v>11</v>
      </c>
      <c r="C34" s="1">
        <v>41365</v>
      </c>
      <c r="D34" s="3">
        <v>0.41666666666666669</v>
      </c>
      <c r="E34" s="3">
        <v>9.375E-2</v>
      </c>
      <c r="F34" s="2">
        <v>0.17708333333333334</v>
      </c>
      <c r="G34">
        <v>4.25</v>
      </c>
      <c r="H34" s="4">
        <v>680</v>
      </c>
    </row>
    <row r="35" spans="1:8" x14ac:dyDescent="0.25">
      <c r="B35" t="s">
        <v>11</v>
      </c>
      <c r="C35" s="1">
        <v>41366</v>
      </c>
      <c r="D35" s="3">
        <v>0.36458333333333331</v>
      </c>
      <c r="E35" s="3">
        <v>0.52083333333333337</v>
      </c>
      <c r="F35" s="2">
        <v>0.15625</v>
      </c>
      <c r="G35">
        <v>3.75</v>
      </c>
      <c r="H35" s="4">
        <v>600</v>
      </c>
    </row>
    <row r="36" spans="1:8" x14ac:dyDescent="0.25">
      <c r="B36" t="s">
        <v>12</v>
      </c>
      <c r="C36" s="1">
        <v>41365</v>
      </c>
      <c r="D36" s="3">
        <v>0.41666666666666669</v>
      </c>
      <c r="E36" s="3">
        <v>9.375E-2</v>
      </c>
      <c r="F36" s="2">
        <v>0.17708333333333334</v>
      </c>
      <c r="G36">
        <v>4.25</v>
      </c>
      <c r="H36" s="4">
        <v>318.75</v>
      </c>
    </row>
    <row r="37" spans="1:8" x14ac:dyDescent="0.25">
      <c r="B37" t="s">
        <v>13</v>
      </c>
      <c r="C37" s="1">
        <v>41365</v>
      </c>
      <c r="D37" s="3">
        <v>0.41666666666666669</v>
      </c>
      <c r="E37" s="3">
        <v>9.375E-2</v>
      </c>
      <c r="F37" s="2">
        <v>0.17708333333333334</v>
      </c>
      <c r="G37">
        <v>4.25</v>
      </c>
      <c r="H37" s="4">
        <v>318.75</v>
      </c>
    </row>
    <row r="38" spans="1:8" x14ac:dyDescent="0.25">
      <c r="B38" t="s">
        <v>14</v>
      </c>
      <c r="C38" s="1">
        <v>41365</v>
      </c>
      <c r="D38" s="3">
        <v>0.41666666666666669</v>
      </c>
      <c r="E38" s="3">
        <v>9.375E-2</v>
      </c>
      <c r="F38" s="2">
        <v>0.17708333333333334</v>
      </c>
      <c r="G38">
        <v>4.25</v>
      </c>
      <c r="H38" s="4">
        <v>382.5</v>
      </c>
    </row>
    <row r="39" spans="1:8" x14ac:dyDescent="0.25">
      <c r="B39" t="s">
        <v>17</v>
      </c>
      <c r="C39" s="1">
        <v>41367</v>
      </c>
      <c r="D39" s="3">
        <v>0.5625</v>
      </c>
      <c r="E39" s="3">
        <v>0.71875</v>
      </c>
      <c r="F39" s="2">
        <v>0.15625</v>
      </c>
      <c r="G39">
        <v>3.75</v>
      </c>
      <c r="H39" s="4">
        <v>468.75</v>
      </c>
    </row>
    <row r="40" spans="1:8" x14ac:dyDescent="0.25">
      <c r="B40" t="s">
        <v>15</v>
      </c>
      <c r="C40" s="1">
        <v>41365</v>
      </c>
      <c r="D40" s="3">
        <v>0.41666666666666669</v>
      </c>
      <c r="E40" s="3">
        <v>9.375E-2</v>
      </c>
      <c r="F40" s="2">
        <v>0.17708333333333334</v>
      </c>
      <c r="G40">
        <v>4.25</v>
      </c>
      <c r="H40" s="4">
        <v>2868.75</v>
      </c>
    </row>
    <row r="41" spans="1:8" x14ac:dyDescent="0.25">
      <c r="B41" t="s">
        <v>15</v>
      </c>
      <c r="C41" s="1">
        <v>41366</v>
      </c>
      <c r="D41" s="3">
        <v>0.36458333333333331</v>
      </c>
      <c r="E41" s="3">
        <v>0.52083333333333337</v>
      </c>
      <c r="F41" s="2">
        <v>0.15625</v>
      </c>
      <c r="G41">
        <v>3.75</v>
      </c>
      <c r="H41" s="4">
        <v>2531.25</v>
      </c>
    </row>
    <row r="42" spans="1:8" x14ac:dyDescent="0.25">
      <c r="A42" t="s">
        <v>46</v>
      </c>
      <c r="B42" t="s">
        <v>16</v>
      </c>
      <c r="C42" s="1">
        <v>41366</v>
      </c>
      <c r="D42" s="3">
        <v>0.36458333333333331</v>
      </c>
      <c r="E42" s="3">
        <v>0.52083333333333337</v>
      </c>
      <c r="F42" s="2">
        <v>0.15625</v>
      </c>
      <c r="G42">
        <v>3.75</v>
      </c>
      <c r="H42" s="4">
        <v>450</v>
      </c>
    </row>
    <row r="43" spans="1:8" x14ac:dyDescent="0.25">
      <c r="B43" t="s">
        <v>16</v>
      </c>
      <c r="C43" s="1">
        <v>41367</v>
      </c>
      <c r="D43" s="3">
        <v>0.5625</v>
      </c>
      <c r="E43" s="3">
        <v>0.71875</v>
      </c>
      <c r="F43" s="2">
        <v>0.15625</v>
      </c>
      <c r="G43">
        <v>3.75</v>
      </c>
      <c r="H43" s="4">
        <v>450</v>
      </c>
    </row>
    <row r="44" spans="1:8" x14ac:dyDescent="0.25">
      <c r="B44" t="s">
        <v>16</v>
      </c>
      <c r="C44" s="1">
        <v>41368</v>
      </c>
      <c r="D44" s="3">
        <v>0.29166666666666669</v>
      </c>
      <c r="E44" s="3">
        <v>0.40625</v>
      </c>
      <c r="F44" s="2">
        <v>0.11458333333333333</v>
      </c>
      <c r="G44">
        <v>2.75</v>
      </c>
      <c r="H44" s="4">
        <v>330</v>
      </c>
    </row>
  </sheetData>
  <sheetProtection password="C9F7" sheet="1" objects="1" scenarios="1" selectLockedCells="1" selectUnlockedCells="1"/>
  <sortState ref="B24:H43">
    <sortCondition ref="B24:B4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Monthly_Billing</vt:lpstr>
      <vt:lpstr>Graficas Resultantes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Sergio Garcia</cp:lastModifiedBy>
  <dcterms:created xsi:type="dcterms:W3CDTF">2015-03-20T13:15:06Z</dcterms:created>
  <dcterms:modified xsi:type="dcterms:W3CDTF">2017-11-02T03:37:49Z</dcterms:modified>
</cp:coreProperties>
</file>