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/>
  <mc:AlternateContent xmlns:mc="http://schemas.openxmlformats.org/markup-compatibility/2006">
    <mc:Choice Requires="x15">
      <x15ac:absPath xmlns:x15ac="http://schemas.microsoft.com/office/spreadsheetml/2010/11/ac" url="C:\Users\steph\Dropbox (Personal)\UFM 2\2017\Tareas\"/>
    </mc:Choice>
  </mc:AlternateContent>
  <bookViews>
    <workbookView xWindow="0" yWindow="0" windowWidth="20496" windowHeight="7452"/>
  </bookViews>
  <sheets>
    <sheet name="Factura Instrucciones" sheetId="1" r:id="rId1"/>
    <sheet name="Clientes" sheetId="2" r:id="rId2"/>
    <sheet name="Productos" sheetId="12" r:id="rId3"/>
    <sheet name="Factura Resultado" sheetId="14" r:id="rId4"/>
  </sheets>
  <definedNames>
    <definedName name="_xlnm._FilterDatabase" localSheetId="2" hidden="1">Productos!$A$2:$Y$72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4" l="1"/>
  <c r="D14" i="14" s="1"/>
  <c r="E14" i="14" s="1"/>
  <c r="C17" i="14"/>
  <c r="C18" i="14"/>
  <c r="C19" i="14" s="1"/>
  <c r="D12" i="14"/>
  <c r="E12" i="14" s="1"/>
  <c r="C12" i="14"/>
  <c r="D11" i="14"/>
  <c r="E11" i="14" s="1"/>
  <c r="C11" i="14"/>
  <c r="D10" i="14"/>
  <c r="E10" i="14" s="1"/>
  <c r="C10" i="14"/>
  <c r="D9" i="14"/>
  <c r="E9" i="14"/>
  <c r="C9" i="14"/>
  <c r="D8" i="14"/>
  <c r="E8" i="14"/>
  <c r="C8" i="14"/>
  <c r="D7" i="14"/>
  <c r="E7" i="14" s="1"/>
  <c r="E13" i="14" s="1"/>
  <c r="C7" i="14"/>
  <c r="B3" i="14"/>
  <c r="E2" i="14"/>
  <c r="B2" i="14"/>
  <c r="E11" i="1"/>
  <c r="E7" i="1"/>
  <c r="E8" i="1"/>
  <c r="E9" i="1"/>
  <c r="E10" i="1"/>
  <c r="E12" i="1"/>
  <c r="E15" i="14" l="1"/>
</calcChain>
</file>

<file path=xl/sharedStrings.xml><?xml version="1.0" encoding="utf-8"?>
<sst xmlns="http://schemas.openxmlformats.org/spreadsheetml/2006/main" count="576" uniqueCount="293">
  <si>
    <t>2562889-5</t>
  </si>
  <si>
    <t>Ciudad</t>
  </si>
  <si>
    <t>C.F.</t>
  </si>
  <si>
    <t>7949084-0</t>
  </si>
  <si>
    <t>477628-3</t>
  </si>
  <si>
    <t>567206-6</t>
  </si>
  <si>
    <t>Angelica Hernandez</t>
  </si>
  <si>
    <t>812019-6</t>
  </si>
  <si>
    <t>Maria Del Carmen Choc</t>
  </si>
  <si>
    <t>1559428-9</t>
  </si>
  <si>
    <t>5186621-8</t>
  </si>
  <si>
    <t>Victor Jo</t>
  </si>
  <si>
    <t>258688-6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</si>
  <si>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</si>
  <si>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</si>
  <si>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</si>
  <si>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</si>
  <si>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</si>
  <si>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</si>
  <si>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</si>
  <si>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</si>
  <si>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</si>
  <si>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</si>
  <si>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</si>
  <si>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</si>
  <si>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</si>
  <si>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</si>
  <si>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978893-K</t>
  </si>
  <si>
    <t>Personal</t>
  </si>
  <si>
    <t>Salon</t>
  </si>
  <si>
    <t>NIT</t>
  </si>
  <si>
    <t>TIPO</t>
  </si>
  <si>
    <t>CODIGO</t>
  </si>
  <si>
    <t>CLIENTE</t>
  </si>
  <si>
    <t>Javier Rodriguez</t>
  </si>
  <si>
    <t>711121-5</t>
  </si>
  <si>
    <t>Cliente:</t>
  </si>
  <si>
    <t>1490292-3</t>
  </si>
  <si>
    <t>6103974-8</t>
  </si>
  <si>
    <t>Janeth Cardona</t>
  </si>
  <si>
    <t>836723-k</t>
  </si>
  <si>
    <t>C015</t>
  </si>
  <si>
    <t>CR30</t>
  </si>
  <si>
    <t>Distribuidor</t>
  </si>
  <si>
    <t>CO</t>
  </si>
  <si>
    <t>C016</t>
  </si>
  <si>
    <t>C017</t>
  </si>
  <si>
    <t>6082911-7</t>
  </si>
  <si>
    <t>Claudia de Arenas</t>
  </si>
  <si>
    <t>AVE001</t>
  </si>
  <si>
    <t>5052078-4</t>
  </si>
  <si>
    <t>c050</t>
  </si>
  <si>
    <t>ANULADO</t>
  </si>
  <si>
    <t>c000</t>
  </si>
  <si>
    <t>Kathya Diaz</t>
  </si>
  <si>
    <t>C020</t>
  </si>
  <si>
    <t>Stephany Orozco</t>
  </si>
  <si>
    <t>C022</t>
  </si>
  <si>
    <t>Evelyn González</t>
  </si>
  <si>
    <t>Column1</t>
  </si>
  <si>
    <t>C018</t>
  </si>
  <si>
    <t>C019</t>
  </si>
  <si>
    <t>C021</t>
  </si>
  <si>
    <t>Karla Sanchez</t>
  </si>
  <si>
    <t>Romero Lucas</t>
  </si>
  <si>
    <t>Cristina Castro</t>
  </si>
  <si>
    <t>Juan Perez</t>
  </si>
  <si>
    <t>Luis Gonzalez</t>
  </si>
  <si>
    <t>Leticia Ruano</t>
  </si>
  <si>
    <t>Alejandro Juarez</t>
  </si>
  <si>
    <t>Pedro Tome</t>
  </si>
  <si>
    <t>Johana Sosa</t>
  </si>
  <si>
    <t>Ana Castañon</t>
  </si>
  <si>
    <t>Karla Valladares</t>
  </si>
  <si>
    <t>Karen Montoya</t>
  </si>
  <si>
    <t>Rosa Sagastume</t>
  </si>
  <si>
    <t>CR15</t>
  </si>
  <si>
    <t>Casa</t>
  </si>
  <si>
    <t>Producto</t>
  </si>
  <si>
    <t>Presentación</t>
  </si>
  <si>
    <t>ONZ</t>
  </si>
  <si>
    <t>ml</t>
  </si>
  <si>
    <t>PRECIO</t>
  </si>
  <si>
    <t>NOMBRE EN EMPAQUE</t>
  </si>
  <si>
    <t>ACONDICIONADOR</t>
  </si>
  <si>
    <t>BOTE</t>
  </si>
  <si>
    <t>SHAMPOO</t>
  </si>
  <si>
    <t xml:space="preserve">TRATAMIENTO </t>
  </si>
  <si>
    <t xml:space="preserve">BIO IONIC </t>
  </si>
  <si>
    <t>BIO2806</t>
  </si>
  <si>
    <t>MICRO HIDRATION THERAPY BIO IONIC ACONDICIONADOR HIDRATANTE 1000 ML 33.8 OZ</t>
  </si>
  <si>
    <t>BIO2805</t>
  </si>
  <si>
    <t>MICRO HIDRATION THERAPY BIO IONIC ACONDICIONADOR HIDRATANTE 250 ML 8.5 OZ</t>
  </si>
  <si>
    <t>BIO2801</t>
  </si>
  <si>
    <t>MICRO HIDRATION THERAPY BIO IONIC SHAMPOO HIDRATANTE 250 ML 8.5 OZ</t>
  </si>
  <si>
    <t>BIO2804</t>
  </si>
  <si>
    <t>MICRO HIDRATION THERAPY BIO IONIC SHAMPOO PURIFICADOR 1000 ML 33.8 OZ</t>
  </si>
  <si>
    <t>BIO2803</t>
  </si>
  <si>
    <t>MICRO HIDRATION THERAPY BIO IONIC SHAMPOO PURIFICADOR 250 ML 8.5 OZ</t>
  </si>
  <si>
    <t>BIO2012</t>
  </si>
  <si>
    <t>TRATAMIENTO</t>
  </si>
  <si>
    <t>MICRO HIDRATION THERAPY BIO IONIC RECONSTRUCTOR DE HIDRATACION INTENSIVA 1000 ML 33.8 OZ</t>
  </si>
  <si>
    <t xml:space="preserve">SPRAY </t>
  </si>
  <si>
    <t>BRELIL</t>
  </si>
  <si>
    <t>AVE010</t>
  </si>
  <si>
    <t xml:space="preserve">SHAMPOO </t>
  </si>
  <si>
    <t>AVENA NUMERO 1.0 TREAT AND CLEANSE</t>
  </si>
  <si>
    <t>TUBO</t>
  </si>
  <si>
    <t>AVENA RESTRUCTURING SHAMPOO NUMERO 1</t>
  </si>
  <si>
    <t>AVE002</t>
  </si>
  <si>
    <t>INF01360</t>
  </si>
  <si>
    <t>BIO TRAITEMENT SHAMPOO CERAMIDE A2 PROTEINE DEL RISO 150 ML 5.1 OZ</t>
  </si>
  <si>
    <t>INF9356</t>
  </si>
  <si>
    <t>BIO TRAITEMENT SPA DETOX SHAMPOO 6.76 OZ</t>
  </si>
  <si>
    <t>INF5433</t>
  </si>
  <si>
    <t>BIO TRAITEMENT SPA SHAMPOO ANTIAGE 6.76 OZ</t>
  </si>
  <si>
    <t>INF04560</t>
  </si>
  <si>
    <t>BIO TRAITEMENT ANTI CURLY OIL CHITOSANO CERAMIDE A2 200 ML 6.76 OZ</t>
  </si>
  <si>
    <t>INF01351</t>
  </si>
  <si>
    <t>BIO TRAITEMENT BEAUTY CRISTALLI LIQUIDI EASY SHINE SEMI DI LINO CERAMIDE A2 125 ML 4.23 OZ</t>
  </si>
  <si>
    <t>INF1373</t>
  </si>
  <si>
    <t>BIO TRAITEMENT RECONSTRUCTION RECONSTRUCTOR CREATINA COMPLEX CERAMIDE A 2 150 ML 5.18 OZ 147 GR</t>
  </si>
  <si>
    <t>INF1038</t>
  </si>
  <si>
    <t>BIO TRAITEMENT SPA PURE ELIXIR 6.76 OZ</t>
  </si>
  <si>
    <t>MOUSSE</t>
  </si>
  <si>
    <t>PER20</t>
  </si>
  <si>
    <t xml:space="preserve">PEROXIDO </t>
  </si>
  <si>
    <t xml:space="preserve">COLORIANNE OXILAN 20 VOL PERFUMED OXIDIZING EMULSION </t>
  </si>
  <si>
    <t>INF1092</t>
  </si>
  <si>
    <t>FINISHING ASSIST TOUCHES A10 NATURAL LACQUER SOFT 300 ML</t>
  </si>
  <si>
    <t>INF1115</t>
  </si>
  <si>
    <t>FINISHING ASSIST TOUCHES A12 CLASSIC LACQUER MEDIUM 300 ML</t>
  </si>
  <si>
    <t>INF1054</t>
  </si>
  <si>
    <t>FINISHING ASSIST TOUCHES A6 SHINING SPRAY 150 ML</t>
  </si>
  <si>
    <t>INF7438</t>
  </si>
  <si>
    <t>HAIR CUR TRATAMIENTO INTENSIVO SHAMPOO ANTI ENVEJECIMIENTO 200 ML 6.76 OZ</t>
  </si>
  <si>
    <t>INF7391</t>
  </si>
  <si>
    <t>HAIR CUR TRATAMIENTO INTENSIVO SHAMPOO BAÑO CALMANTE CUTE SENSIBILE 200 ML</t>
  </si>
  <si>
    <t>INF7407</t>
  </si>
  <si>
    <t>HAIR CUR TRATAMIENTO INTENSIVO SHAMPOO BAÑO CALMANTE CUTE SENSIBILE 500 ML 16.9 OZ</t>
  </si>
  <si>
    <t>INF1254</t>
  </si>
  <si>
    <t>HAIR CUR MOUSSE TREATMENT CAPELLI FINI E FRAGILI 8.6 OZ 244 G</t>
  </si>
  <si>
    <t>INF7346</t>
  </si>
  <si>
    <t>HAIR CUR SHAMPOO ANTI DANDRUFF WITH PURACTIVE HD 16.9 ONZ</t>
  </si>
  <si>
    <t>INF7452</t>
  </si>
  <si>
    <t>HAIR CUR TRATAMIENTO INTENSIVO SHAMPOO LUCE CABELLO NORMAL 200 ML 6.76 OZ</t>
  </si>
  <si>
    <t>INF1253</t>
  </si>
  <si>
    <t>HAIR CUR RESTRUCTURING TREATMEN N.C.R 100 ML 3.4 OZ</t>
  </si>
  <si>
    <t>INF1241</t>
  </si>
  <si>
    <t>HAIR CUR HAIR SHINING REPAIR 100ML 3.4 ONZ</t>
  </si>
  <si>
    <t>INF67338</t>
  </si>
  <si>
    <t>PEROXIDO</t>
  </si>
  <si>
    <t>OXILAN EMULSION OXIDANTE PERFUMADA 30 VOL AL 9% 1000 ML 33.8 OZ</t>
  </si>
  <si>
    <t>INF11461</t>
  </si>
  <si>
    <t>OXILAN EMULSION OXIDANTE PERFUMADA 40 VOL AL 12% 1000 ML 33.8 OZ</t>
  </si>
  <si>
    <t>INF67334</t>
  </si>
  <si>
    <t>OXILAN EMULSION OXIDANTE PERFUMADA 40 VOL AL 12% 250 ML 8.4 OZ</t>
  </si>
  <si>
    <t>SPRAY</t>
  </si>
  <si>
    <t>GOTAS</t>
  </si>
  <si>
    <t>MATRIX</t>
  </si>
  <si>
    <t>MAT7462</t>
  </si>
  <si>
    <t>BIOLAGE ACONDICIONADOR COLOR CARE NUTRE CABELLO TEÑIDO 400 ML 13.5 OZ</t>
  </si>
  <si>
    <t>MAT6210</t>
  </si>
  <si>
    <t>BIOLAGE SYSTEM SOLUTION DEMELANTE 100 ML 4 OZ</t>
  </si>
  <si>
    <t>MAT6209</t>
  </si>
  <si>
    <t>BIOLAGE SYSTEM SHAMPOO ENERGISAN 118 ML 4 OZ</t>
  </si>
  <si>
    <t>MAT6211</t>
  </si>
  <si>
    <t>BIOLAGE SYSTEM SPRITZ DE FINITION 236 ML 8 OZ</t>
  </si>
  <si>
    <t>MAT6400</t>
  </si>
  <si>
    <t>ALTERNATE ACTION CHAMPU CLARIFICADOR 473 ML 16 OZ</t>
  </si>
  <si>
    <t>MAT6003</t>
  </si>
  <si>
    <t>VAVOOM FINISHING FIJADOR EXTRA FIRME 225 ML 8 OZ</t>
  </si>
  <si>
    <t>MAT3963</t>
  </si>
  <si>
    <t xml:space="preserve">ACONDICIONADOR </t>
  </si>
  <si>
    <t>VAVOOM CONDITION ACONDICIONADOR PARA ESTILIZADO 225 ML 8 OZ</t>
  </si>
  <si>
    <t>MAT3955</t>
  </si>
  <si>
    <t>VAVOOM CONDITION ACONDICIONADOR PARA ESTILIZADO 450 ML 16 OZ</t>
  </si>
  <si>
    <t>MAT3948</t>
  </si>
  <si>
    <t>VAVOOM CLEANSE CHAMPU PARA ESTILIZADO 450 ML 16 OZ</t>
  </si>
  <si>
    <t>MAT6017</t>
  </si>
  <si>
    <t>VITAL NUTRIENTS BODYFUSION EXTRA VOLUME ACONDICIONADOR PARA MAS VOLUMEN  113 G 4 OZ</t>
  </si>
  <si>
    <t>MAT6172</t>
  </si>
  <si>
    <t>VITAL NUTRIENTS MOISTURERICH FUSION SHAMPOO 118 ML</t>
  </si>
  <si>
    <t>MAT6150</t>
  </si>
  <si>
    <t>VITAL NUTRIENTS BODYFUSION VOLUMIZER  REFILL SIZE  1L  33.8 OZ</t>
  </si>
  <si>
    <t>MAT0167</t>
  </si>
  <si>
    <t>VITAL NUTRIENTS BODYFUSION VOLUMIZER  REFILL SIZE  250ML  8.5 OZ</t>
  </si>
  <si>
    <t>MAT6033</t>
  </si>
  <si>
    <t>VITAL NUTRIENTS MOISTURERICH FUSION SHAMPOO 250 ML  8.5OZ</t>
  </si>
  <si>
    <t xml:space="preserve">MATRIX </t>
  </si>
  <si>
    <t>MAT0163</t>
  </si>
  <si>
    <t>MATRIX ESSENTIALS  OSSENTIAL BODY &amp; STRENGTH RECONSTRUCTOR 236 ML 8 OZ</t>
  </si>
  <si>
    <t>MAT0212</t>
  </si>
  <si>
    <t>MATRIX ESSENTIALS  PERM FRESH SHAMPOO 473 ML 16 OZ</t>
  </si>
  <si>
    <t>MAT2635</t>
  </si>
  <si>
    <t>MATRIX SLEEK.LOOK SMOOTHING SYSTEM 3 EXTREME CREMA ESTILIZADORA 150 ML 5.1 OZ</t>
  </si>
  <si>
    <t>MAT9693</t>
  </si>
  <si>
    <t>SOLITE CREMA ACELERADORA DE 20 VOL MATRIX 236ML 8OZ</t>
  </si>
  <si>
    <t>SEN5228</t>
  </si>
  <si>
    <t xml:space="preserve">SENSCIENCE </t>
  </si>
  <si>
    <t>BODY SHINE BODIFYING SHAMPOO CHAMPU VOLUMINIZADOR 300ML 12 OZ</t>
  </si>
  <si>
    <t>SEN5234</t>
  </si>
  <si>
    <t>BODY SHINE DAILY DETANGLER DESENREDANTE DIARIO 300ML 12 OZ</t>
  </si>
  <si>
    <t>SEN4608</t>
  </si>
  <si>
    <t>SENSCIENCE BALANCE CONDITIONER 300 ML  10.2 ONZ</t>
  </si>
  <si>
    <t>SEN4622</t>
  </si>
  <si>
    <t>SENSCIENCE SILK MOISTURE CONDITIONER 300 ML  10.2 ONZ</t>
  </si>
  <si>
    <t>SEN5215</t>
  </si>
  <si>
    <t>ESPUMA</t>
  </si>
  <si>
    <t>SENSCIENCE INNER HAIR CARE STYLING FROTH ESPUMA ESTILIZANTE  150 ML  6 ONZ</t>
  </si>
  <si>
    <t>SEN5223</t>
  </si>
  <si>
    <t>SENSCIENCE INNER HAIR CARE VOLUMESSE ESPUMA VOLUMINIZANTE 500 ML  16.9 ONZ</t>
  </si>
  <si>
    <t>SEN4561</t>
  </si>
  <si>
    <t>SENSCIENCE BALANCE SHAMPOO 300 ML  10.2 ONZ</t>
  </si>
  <si>
    <t>SEN5540</t>
  </si>
  <si>
    <t>SENSCIENCE INNER HAIR CARE ENERGY SHAMPOO CHAMPU ENERGIZADOR  250 ML  8.4 ONZ</t>
  </si>
  <si>
    <t>SEN5230</t>
  </si>
  <si>
    <t>SENSCIENCE INNER HAIR CARE MAXIMUM MEMORY FIJADOR DE MAXIMO CONTROL  250 ML  6.5 ONZ</t>
  </si>
  <si>
    <t>SEN5154</t>
  </si>
  <si>
    <t>SENSCIENCE INNER HAIR CARE MEMORY MIST FIJADOR FLEXIBLE  250 ML  6.5 ONZ</t>
  </si>
  <si>
    <t>SEN5186</t>
  </si>
  <si>
    <t>SENSCIENCE INNER HAIR CARE COMPLETE CLARIFIER TRATAMIENTO PRE CHAMPU 200 ML  8 ONZ</t>
  </si>
  <si>
    <t>SEN5328</t>
  </si>
  <si>
    <t>SENSCIENCE INNER HAIR CARE INNER CONDITIONER ACONDICIONADOR INTENSO 250 ML  8.4 ONZ</t>
  </si>
  <si>
    <t>SEN5210</t>
  </si>
  <si>
    <t xml:space="preserve">SENSCIENCE INNER HAIR CARE SOIN INTERNE FIJADOR TERMICO 7.6 OZ 200 ML </t>
  </si>
  <si>
    <t>SEN5159</t>
  </si>
  <si>
    <t>SENSCIENCE INNER HAIR CARE ENERGY SPRITZ 200 ML  8 ONZ</t>
  </si>
  <si>
    <t>SEN5195</t>
  </si>
  <si>
    <t>SENSCIENCE INNER HAIR CARE SIMPLY SHINE LUSTRE 75 ML  2.6 ONZ</t>
  </si>
  <si>
    <t>THF1242</t>
  </si>
  <si>
    <t>THICKER FULLER HAIR</t>
  </si>
  <si>
    <t>THICKER FULLER HAIR COLOR CARE HYDRATING RINSE CONDITION 350ML 12 OZ</t>
  </si>
  <si>
    <t>THF1204</t>
  </si>
  <si>
    <t>THICKER FULLER HAIR WEIGHTLESS CONDITIONING RINSE 350ML 12 OZ</t>
  </si>
  <si>
    <t>THF1006</t>
  </si>
  <si>
    <t>THICKER FULLER HAIR REVITALIZING SHAMPOO CLEANSE 350ML 12 OZ</t>
  </si>
  <si>
    <t>THF1709</t>
  </si>
  <si>
    <t>THICKER FULLER HAIR MIRACLE THICKENING SERUM  118ML 4 OZ</t>
  </si>
  <si>
    <t>THF1754</t>
  </si>
  <si>
    <t>THICKER FULLER HAIR MIRACLE VOLUMIZING LOTION  125ML 4.2 OZ</t>
  </si>
  <si>
    <t>THF0150</t>
  </si>
  <si>
    <t>THICKER FULLER HAIR WEIGHTLESS VOLUMINIZING HAIR SPRAY  225ML 8 OZ</t>
  </si>
  <si>
    <t>CLIENTES</t>
  </si>
  <si>
    <t>Productos</t>
  </si>
  <si>
    <t>Codigo:</t>
  </si>
  <si>
    <t>FACTURA MI EJEMPLO S.A.</t>
  </si>
  <si>
    <t>Fecha:</t>
  </si>
  <si>
    <t>Direccion:</t>
  </si>
  <si>
    <t>Nit:</t>
  </si>
  <si>
    <t>CANT</t>
  </si>
  <si>
    <t>DESCRIPCION</t>
  </si>
  <si>
    <t>TOTAL</t>
  </si>
  <si>
    <t>SUBTOTAL</t>
  </si>
  <si>
    <t>DESCUENTO</t>
  </si>
  <si>
    <t>TOTAL FACTURA</t>
  </si>
  <si>
    <t>Fecha de pago:</t>
  </si>
  <si>
    <t>Tipo de pago:</t>
  </si>
  <si>
    <t>Tipo de Cliente:</t>
  </si>
  <si>
    <t>EJERCICIOS LOOKUP</t>
  </si>
  <si>
    <t>Objetivo del ejercicio: realizar un formato de factura utilizando Vlookup, Hlookup y Lookup</t>
  </si>
  <si>
    <t>1. En una nueva hoja llamada "FACTURA" realice una factura según la hoja "Factura Ejemplo" y las siguientes instrucciones:</t>
  </si>
  <si>
    <t>2. En la celda B12 indique la fecha de Hoy</t>
  </si>
  <si>
    <t>3. En la celda E3, ingresará el codigo del cliente, debe validar que solo se puedan ingresar codigos existentes</t>
  </si>
  <si>
    <t>4. Utilizando Vlookup de acuerdo al código ingresado en la celda E3 debe dar como resultado el nombre del cliente, en la celda B3</t>
  </si>
  <si>
    <t>5. Utilizando Vlookup de acuerdo al código ingresado en la celda E3 debe dar como resultado la direccion del cliente en la celda B4</t>
  </si>
  <si>
    <t>6. Utilizando Vlookup de acuerdo al código ingresado en la celda E3 debe dar como resultado el Nit del cliente en la celda E2</t>
  </si>
  <si>
    <t>Llenado de informacion de factura</t>
  </si>
  <si>
    <t>7. verifique que los valores que se puedan ingresar de la celda A7 a la A12 sean mayores de 0 y menores de 100</t>
  </si>
  <si>
    <t>8. Valide que de la celda B7 a la B12 solo s epuedan ingresar códigos validos de productos</t>
  </si>
  <si>
    <t>9. Utilizando Vlookup las celdas de C7:C12, debe indicar la descripcion del producto de acuerdo al codigo ingresado en las celdas B7:B12</t>
  </si>
  <si>
    <t>10 Utilizando Vlookup las celdas de D7:D12, debe indicar el precio del producto de acuerdo al codigo ingresado en las celdas B7:B12</t>
  </si>
  <si>
    <t>11. De la celda E7:E12 calcule el total de la venta por producto</t>
  </si>
  <si>
    <t xml:space="preserve">14. De acuerdo al resultado de la celda C17, calcule la fecha de pago. Contado= el dia de la emisión de la factura, CR15= 15 días después de la fecha y CR30= 30 días despues de la emisión de la factura. </t>
  </si>
  <si>
    <t>Dia Efectivo de pago:</t>
  </si>
  <si>
    <t>15. Si el dia de pago es domingo debe ser el día siguiente habil. Poner esa nueva fecha en la celda C19, utilice la formula weekdays referencia 16</t>
  </si>
  <si>
    <t>16. en la celda C20 utilizando LOOKUP, indique el tipo cliente que es de acuerdo al codigo ingresado en la celda E3</t>
  </si>
  <si>
    <t>Descuento</t>
  </si>
  <si>
    <t>Tipo Cliente</t>
  </si>
  <si>
    <t>DESCUENTOS</t>
  </si>
  <si>
    <t>18. En la celda E14 calcule el descuento y en la E16, calcule el total a pagar</t>
  </si>
  <si>
    <t>19. Llene la factura de acuerdo a los datos de Factura Resultado.</t>
  </si>
  <si>
    <t>Guatemala</t>
  </si>
  <si>
    <t>Credito</t>
  </si>
  <si>
    <t>Direccion</t>
  </si>
  <si>
    <t>Mixco</t>
  </si>
  <si>
    <t>Petapa</t>
  </si>
  <si>
    <t>San Cristobal</t>
  </si>
  <si>
    <t>20. 1 Punto extras por presentacion mejorada</t>
  </si>
  <si>
    <t>12. en la celda E13 calcule el subtotal de la venta sin descuento</t>
  </si>
  <si>
    <t>Tipo de pago/crédito:</t>
  </si>
  <si>
    <t>13. en la celda C17 utilizando LOOKUP, indique el tipo de pago /crédito que tiene el cliente de acuerdo al codigo ingresado en la celda E3</t>
  </si>
  <si>
    <t>17. Utilizando Hlookup en la celda D14 determine el descuento a aplicar según tabla de descuentos de la hoja "Clientes" y el tipo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</si>
</sst>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[$Q-100A]* #,##0.00_-;\-[$Q-100A]* #,##0.00_-;_-[$Q-100A]* &quot;-&quot;??_-;_-@_-"/>
    <numFmt numFmtId="165" formatCode="[$-100A]d&quot; de &quot;mmmm&quot; de &quot;yyyy;@"/>
    <numFmt numFmtId="166" formatCode="#,##0_ ;[Red]\-#,##0\ "/>
    <numFmt numFmtId="167" formatCode="_-[$$-409]* #,##0.00_ ;_-[$$-409]* \-#,##0.00\ ;_-[$$-409]* &quot;-&quot;??_ ;_-@_ "/>
    <numFmt numFmtId="168" formatCode="[$-F800]dddd\,\ mmmm\ dd\,\ yyyy"/>
  </numFmts>
  <fonts count="1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ronos Pro"/>
    </font>
    <font>
      <sz val="10"/>
      <color theme="1"/>
      <name val="Cronos Pro"/>
    </font>
    <font>
      <sz val="11"/>
      <color theme="1"/>
      <name val="Cronos Pro"/>
    </font>
    <font>
      <b/>
      <sz val="11"/>
      <color theme="1"/>
      <name val="Cronos Pro"/>
    </font>
    <font>
      <b/>
      <sz val="10"/>
      <color theme="1"/>
      <name val="Cronos Pro"/>
    </font>
    <font>
      <b/>
      <sz val="8"/>
      <color theme="1"/>
      <name val="Cronos Pro"/>
    </font>
    <font>
      <b/>
      <sz val="20"/>
      <color theme="1"/>
      <name val="Calibri"/>
      <family val="2"/>
      <scheme val="minor"/>
    </font>
    <font>
      <b/>
      <sz val="18"/>
      <color theme="1"/>
      <name val="Cronos Pro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vertical="top"/>
    </xf>
    <xf numFmtId="0" fontId="1" fillId="0" borderId="0" xfId="0" applyFont="1" applyFill="1" applyBorder="1"/>
    <xf numFmtId="0" fontId="2" fillId="0" borderId="0" xfId="0" applyFont="1"/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10" fillId="0" borderId="0" xfId="0" applyFont="1"/>
    <xf numFmtId="0" fontId="7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164" fontId="9" fillId="3" borderId="0" xfId="0" applyNumberFormat="1" applyFont="1" applyFill="1" applyBorder="1" applyAlignment="1">
      <alignment horizontal="center" vertical="center"/>
    </xf>
    <xf numFmtId="167" fontId="9" fillId="3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vertical="center"/>
    </xf>
    <xf numFmtId="167" fontId="6" fillId="0" borderId="0" xfId="0" applyNumberFormat="1" applyFont="1" applyFill="1" applyBorder="1" applyAlignment="1">
      <alignment vertical="center"/>
    </xf>
    <xf numFmtId="164" fontId="6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Border="1"/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164" fontId="12" fillId="0" borderId="0" xfId="0" applyNumberFormat="1" applyFont="1"/>
    <xf numFmtId="166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vertical="top"/>
    </xf>
    <xf numFmtId="0" fontId="2" fillId="0" borderId="1" xfId="0" applyFont="1" applyBorder="1"/>
    <xf numFmtId="164" fontId="12" fillId="0" borderId="0" xfId="0" applyNumberFormat="1" applyFont="1" applyFill="1" applyBorder="1" applyAlignment="1">
      <alignment horizontal="left" vertical="center" wrapText="1"/>
    </xf>
    <xf numFmtId="164" fontId="12" fillId="2" borderId="0" xfId="0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/>
    </xf>
    <xf numFmtId="164" fontId="12" fillId="0" borderId="0" xfId="0" applyNumberFormat="1" applyFont="1" applyFill="1" applyBorder="1" applyAlignment="1">
      <alignment horizontal="left" vertical="top" wrapText="1"/>
    </xf>
    <xf numFmtId="164" fontId="12" fillId="0" borderId="0" xfId="0" applyNumberFormat="1" applyFont="1" applyBorder="1"/>
    <xf numFmtId="0" fontId="14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164" fontId="12" fillId="0" borderId="2" xfId="0" applyNumberFormat="1" applyFont="1" applyBorder="1"/>
    <xf numFmtId="9" fontId="12" fillId="0" borderId="0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2" fillId="0" borderId="0" xfId="0" applyFont="1" applyAlignment="1">
      <alignment horizontal="left" vertical="center" wrapText="1"/>
    </xf>
    <xf numFmtId="164" fontId="12" fillId="2" borderId="0" xfId="0" applyNumberFormat="1" applyFont="1" applyFill="1" applyBorder="1" applyAlignment="1">
      <alignment horizontal="left" vertical="center" wrapText="1"/>
    </xf>
    <xf numFmtId="164" fontId="2" fillId="2" borderId="0" xfId="0" applyNumberFormat="1" applyFont="1" applyFill="1" applyBorder="1" applyAlignment="1">
      <alignment horizontal="left" vertical="center" wrapText="1"/>
    </xf>
    <xf numFmtId="164" fontId="12" fillId="2" borderId="0" xfId="0" applyNumberFormat="1" applyFont="1" applyFill="1" applyBorder="1" applyAlignment="1">
      <alignment horizontal="left" wrapText="1"/>
    </xf>
    <xf numFmtId="0" fontId="12" fillId="0" borderId="0" xfId="0" applyFont="1" applyAlignment="1">
      <alignment vertical="center"/>
    </xf>
    <xf numFmtId="168" fontId="1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168" fontId="12" fillId="0" borderId="0" xfId="0" applyNumberFormat="1" applyFont="1" applyAlignment="1">
      <alignment horizontal="left"/>
    </xf>
    <xf numFmtId="0" fontId="0" fillId="0" borderId="3" xfId="0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166" fontId="12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14" fillId="2" borderId="0" xfId="0" applyFont="1" applyFill="1" applyBorder="1" applyAlignment="1" applyProtection="1">
      <alignment horizontal="center" vertical="center" wrapText="1"/>
      <protection locked="0" hidden="1"/>
    </xf>
    <xf numFmtId="0" fontId="2" fillId="0" borderId="1" xfId="0" applyFont="1" applyBorder="1" applyProtection="1">
      <protection locked="0" hidden="1"/>
    </xf>
    <xf numFmtId="9" fontId="12" fillId="0" borderId="0" xfId="1" applyFont="1" applyFill="1" applyBorder="1" applyAlignment="1" applyProtection="1">
      <alignment horizontal="left" vertical="center" wrapText="1"/>
      <protection locked="0" hidden="1"/>
    </xf>
    <xf numFmtId="164" fontId="12" fillId="0" borderId="0" xfId="0" applyNumberFormat="1" applyFont="1" applyBorder="1" applyProtection="1">
      <protection locked="0" hidden="1"/>
    </xf>
    <xf numFmtId="164" fontId="12" fillId="0" borderId="2" xfId="0" applyNumberFormat="1" applyFont="1" applyBorder="1" applyProtection="1">
      <protection locked="0" hidden="1"/>
    </xf>
    <xf numFmtId="164" fontId="12" fillId="0" borderId="0" xfId="0" applyNumberFormat="1" applyFont="1" applyProtection="1">
      <protection locked="0" hidden="1"/>
    </xf>
    <xf numFmtId="0" fontId="12" fillId="0" borderId="0" xfId="0" applyFont="1" applyProtection="1">
      <protection locked="0" hidden="1"/>
    </xf>
    <xf numFmtId="168" fontId="12" fillId="0" borderId="0" xfId="0" applyNumberFormat="1" applyFont="1" applyAlignment="1" applyProtection="1">
      <alignment horizontal="left" vertical="center"/>
      <protection locked="0" hidden="1"/>
    </xf>
    <xf numFmtId="168" fontId="12" fillId="0" borderId="0" xfId="0" applyNumberFormat="1" applyFont="1" applyAlignment="1" applyProtection="1">
      <alignment horizontal="left"/>
      <protection locked="0" hidden="1"/>
    </xf>
    <xf numFmtId="0" fontId="0" fillId="0" borderId="0" xfId="0" applyFont="1" applyAlignment="1">
      <alignment wrapText="1"/>
    </xf>
    <xf numFmtId="164" fontId="0" fillId="0" borderId="0" xfId="0" applyNumberFormat="1" applyFont="1"/>
    <xf numFmtId="0" fontId="12" fillId="0" borderId="0" xfId="0" applyFont="1" applyAlignment="1">
      <alignment horizontal="left" wrapText="1"/>
    </xf>
    <xf numFmtId="165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numFmt numFmtId="167" formatCode="_-[$$-409]* #,##0.00_ ;_-[$$-409]* \-#,##0.00\ ;_-[$$-409]* &quot;-&quot;??_ ;_-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ronos Pro"/>
        <scheme val="none"/>
      </font>
      <numFmt numFmtId="164" formatCode="_-[$Q-100A]* #,##0.00_-;\-[$Q-100A]* #,##0.00_-;_-[$Q-100A]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2" displayName="Table2" ref="A2:F24" totalsRowShown="0">
  <autoFilter ref="A2:F24"/>
  <tableColumns count="6">
    <tableColumn id="1" name="CODIGO"/>
    <tableColumn id="2" name="CLIENTE" dataDxfId="11"/>
    <tableColumn id="3" name="NIT"/>
    <tableColumn id="4" name="TIPO"/>
    <tableColumn id="6" name="Direccion"/>
    <tableColumn id="5" name="Credit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2:I72" totalsRowShown="0" headerRowBorderDxfId="10" tableBorderDxfId="9">
  <autoFilter ref="A2:I72"/>
  <tableColumns count="9">
    <tableColumn id="1" name="CODIGO" dataDxfId="8"/>
    <tableColumn id="2" name="Casa" dataDxfId="7"/>
    <tableColumn id="3" name="Producto" dataDxfId="6"/>
    <tableColumn id="4" name="Presentación" dataDxfId="5"/>
    <tableColumn id="5" name="ONZ" dataDxfId="4"/>
    <tableColumn id="6" name="ml" dataDxfId="3"/>
    <tableColumn id="7" name="NOMBRE EN EMPAQUE" dataDxfId="2"/>
    <tableColumn id="8" name="PRECIO" dataDxfId="1"/>
    <tableColumn id="9" name="Column1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zoomScale="85" zoomScaleNormal="85" workbookViewId="0">
      <selection activeCell="G1" sqref="G1"/>
    </sheetView>
  </sheetViews>
  <sheetFormatPr defaultColWidth="11" defaultRowHeight="14.4"/>
  <cols>
    <col min="1" max="1" width="11.44140625" style="20" customWidth="1"/>
    <col min="2" max="2" width="9.88671875" style="20" customWidth="1"/>
    <col min="3" max="3" width="46.33203125" style="20" customWidth="1"/>
    <col min="4" max="4" width="10.44140625" style="20" customWidth="1"/>
    <col min="5" max="5" width="11" style="20"/>
    <col min="6" max="6" width="5.33203125" style="20" customWidth="1"/>
    <col min="7" max="7" width="93.33203125" style="20" customWidth="1"/>
    <col min="8" max="16384" width="11" style="20"/>
  </cols>
  <sheetData>
    <row r="1" spans="1:8" ht="19.5" customHeight="1">
      <c r="A1" s="41" t="s">
        <v>246</v>
      </c>
      <c r="B1" s="41"/>
      <c r="C1" s="41"/>
      <c r="D1" s="41"/>
      <c r="E1" s="41"/>
      <c r="F1" s="41"/>
      <c r="G1" s="41"/>
      <c r="H1" s="19"/>
    </row>
    <row r="2" spans="1:8" ht="19.5" customHeight="1">
      <c r="A2" s="19" t="s">
        <v>247</v>
      </c>
      <c r="B2" s="67"/>
      <c r="C2" s="67"/>
      <c r="D2" s="26" t="s">
        <v>249</v>
      </c>
      <c r="E2" s="27"/>
      <c r="F2" s="19"/>
      <c r="G2" s="39" t="s">
        <v>259</v>
      </c>
      <c r="H2" s="19"/>
    </row>
    <row r="3" spans="1:8" ht="19.5" customHeight="1">
      <c r="A3" s="19" t="s">
        <v>36</v>
      </c>
      <c r="B3" s="68"/>
      <c r="C3" s="68"/>
      <c r="D3" s="19" t="s">
        <v>245</v>
      </c>
      <c r="E3" s="27"/>
      <c r="F3" s="19"/>
      <c r="G3" s="38" t="s">
        <v>260</v>
      </c>
      <c r="H3" s="19"/>
    </row>
    <row r="4" spans="1:8" ht="29.25" customHeight="1">
      <c r="A4" s="19" t="s">
        <v>248</v>
      </c>
      <c r="B4" s="68"/>
      <c r="C4" s="68"/>
      <c r="D4" s="19"/>
      <c r="E4" s="19"/>
      <c r="F4" s="19"/>
      <c r="G4" s="38" t="s">
        <v>261</v>
      </c>
      <c r="H4" s="19"/>
    </row>
    <row r="5" spans="1:8" ht="19.5" customHeight="1">
      <c r="A5" s="19"/>
      <c r="B5" s="19"/>
      <c r="C5" s="19"/>
      <c r="D5" s="19"/>
      <c r="E5" s="19"/>
      <c r="F5" s="19"/>
      <c r="G5" s="38" t="s">
        <v>262</v>
      </c>
      <c r="H5" s="19"/>
    </row>
    <row r="6" spans="1:8" ht="34.5" customHeight="1">
      <c r="A6" s="27" t="s">
        <v>250</v>
      </c>
      <c r="B6" s="27" t="s">
        <v>32</v>
      </c>
      <c r="C6" s="27" t="s">
        <v>251</v>
      </c>
      <c r="D6" s="27" t="s">
        <v>82</v>
      </c>
      <c r="E6" s="27" t="s">
        <v>252</v>
      </c>
      <c r="F6" s="19"/>
      <c r="G6" s="42" t="s">
        <v>263</v>
      </c>
      <c r="H6" s="19"/>
    </row>
    <row r="7" spans="1:8" s="21" customFormat="1" ht="28.5" customHeight="1">
      <c r="A7" s="24"/>
      <c r="B7" s="34"/>
      <c r="C7" s="25"/>
      <c r="D7" s="28"/>
      <c r="E7" s="29">
        <f>D7*A7</f>
        <v>0</v>
      </c>
      <c r="F7" s="22"/>
      <c r="G7" s="43" t="s">
        <v>264</v>
      </c>
      <c r="H7" s="22"/>
    </row>
    <row r="8" spans="1:8" s="21" customFormat="1" ht="28.5" customHeight="1">
      <c r="A8" s="24"/>
      <c r="B8" s="34"/>
      <c r="C8" s="25"/>
      <c r="D8" s="28"/>
      <c r="E8" s="29">
        <f t="shared" ref="E8:E12" si="0">D8*A8</f>
        <v>0</v>
      </c>
      <c r="F8" s="22"/>
      <c r="G8" s="43" t="s">
        <v>265</v>
      </c>
      <c r="H8" s="22"/>
    </row>
    <row r="9" spans="1:8" s="21" customFormat="1" ht="28.5" customHeight="1">
      <c r="A9" s="24"/>
      <c r="B9" s="34"/>
      <c r="C9" s="25"/>
      <c r="D9" s="28"/>
      <c r="E9" s="29">
        <f t="shared" si="0"/>
        <v>0</v>
      </c>
      <c r="F9" s="22"/>
      <c r="G9" s="43" t="s">
        <v>266</v>
      </c>
      <c r="H9" s="22"/>
    </row>
    <row r="10" spans="1:8" s="21" customFormat="1" ht="28.5" customHeight="1">
      <c r="A10" s="24"/>
      <c r="B10" s="34"/>
      <c r="C10" s="25"/>
      <c r="D10" s="28"/>
      <c r="E10" s="29">
        <f t="shared" si="0"/>
        <v>0</v>
      </c>
      <c r="F10" s="22"/>
      <c r="G10" s="45" t="s">
        <v>267</v>
      </c>
      <c r="H10" s="22"/>
    </row>
    <row r="11" spans="1:8" s="21" customFormat="1" ht="28.5" customHeight="1">
      <c r="A11" s="24"/>
      <c r="B11" s="34"/>
      <c r="C11" s="25"/>
      <c r="D11" s="28"/>
      <c r="E11" s="29">
        <f t="shared" si="0"/>
        <v>0</v>
      </c>
      <c r="F11" s="22"/>
      <c r="G11" s="44" t="s">
        <v>268</v>
      </c>
    </row>
    <row r="12" spans="1:8" s="21" customFormat="1" ht="28.5" customHeight="1">
      <c r="A12" s="24"/>
      <c r="B12" s="34"/>
      <c r="C12" s="25"/>
      <c r="D12" s="28"/>
      <c r="E12" s="30">
        <f t="shared" si="0"/>
        <v>0</v>
      </c>
      <c r="G12" s="44" t="s">
        <v>269</v>
      </c>
    </row>
    <row r="13" spans="1:8" ht="30" customHeight="1">
      <c r="A13" s="31"/>
      <c r="B13" s="19"/>
      <c r="C13" s="35" t="s">
        <v>253</v>
      </c>
      <c r="D13" s="32"/>
      <c r="E13" s="33"/>
      <c r="G13" s="46" t="s">
        <v>270</v>
      </c>
    </row>
    <row r="14" spans="1:8" ht="33" customHeight="1" thickBot="1">
      <c r="C14" s="5" t="s">
        <v>254</v>
      </c>
      <c r="D14" s="37"/>
      <c r="E14" s="36"/>
      <c r="G14" s="46" t="s">
        <v>271</v>
      </c>
    </row>
    <row r="15" spans="1:8" ht="21" customHeight="1" thickTop="1">
      <c r="C15" s="5" t="s">
        <v>255</v>
      </c>
      <c r="E15" s="23"/>
      <c r="G15" s="20" t="s">
        <v>272</v>
      </c>
    </row>
    <row r="16" spans="1:8">
      <c r="G16" s="65" t="s">
        <v>289</v>
      </c>
      <c r="H16" s="23"/>
    </row>
    <row r="17" spans="1:8" ht="28.8">
      <c r="A17" s="5" t="s">
        <v>290</v>
      </c>
      <c r="G17" s="64" t="s">
        <v>291</v>
      </c>
      <c r="H17" s="23"/>
    </row>
    <row r="18" spans="1:8" s="47" customFormat="1">
      <c r="A18" s="49" t="s">
        <v>256</v>
      </c>
      <c r="C18" s="48"/>
      <c r="G18" s="66" t="s">
        <v>273</v>
      </c>
    </row>
    <row r="19" spans="1:8">
      <c r="A19" s="5" t="s">
        <v>274</v>
      </c>
      <c r="C19" s="50"/>
      <c r="G19" s="66"/>
    </row>
    <row r="20" spans="1:8">
      <c r="A20" s="5" t="s">
        <v>258</v>
      </c>
      <c r="G20" s="66" t="s">
        <v>275</v>
      </c>
    </row>
    <row r="21" spans="1:8">
      <c r="G21" s="66"/>
    </row>
    <row r="22" spans="1:8" ht="28.8">
      <c r="G22" s="40" t="s">
        <v>276</v>
      </c>
    </row>
    <row r="23" spans="1:8" ht="28.8">
      <c r="G23" s="64" t="s">
        <v>292</v>
      </c>
    </row>
    <row r="24" spans="1:8">
      <c r="G24" s="40" t="s">
        <v>280</v>
      </c>
    </row>
    <row r="25" spans="1:8">
      <c r="G25" s="40" t="s">
        <v>281</v>
      </c>
    </row>
    <row r="26" spans="1:8">
      <c r="G26" s="64" t="s">
        <v>288</v>
      </c>
    </row>
  </sheetData>
  <mergeCells count="5">
    <mergeCell ref="G18:G19"/>
    <mergeCell ref="G20:G21"/>
    <mergeCell ref="B2:C2"/>
    <mergeCell ref="B3:C3"/>
    <mergeCell ref="B4:C4"/>
  </mergeCells>
  <pageMargins left="0.70866141732283472" right="0.31496062992125984" top="0.74803149606299213" bottom="0.74803149606299213" header="0.31496062992125984" footer="0.31496062992125984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showGridLines="0" topLeftCell="A5" workbookViewId="0">
      <selection activeCell="E23" sqref="E23:E24"/>
    </sheetView>
  </sheetViews>
  <sheetFormatPr defaultColWidth="11" defaultRowHeight="14.4"/>
  <cols>
    <col min="2" max="2" width="29.88671875" bestFit="1" customWidth="1"/>
    <col min="3" max="3" width="13.5546875" customWidth="1"/>
    <col min="5" max="5" width="16.6640625" customWidth="1"/>
  </cols>
  <sheetData>
    <row r="1" spans="1:11" ht="25.8">
      <c r="A1" s="9" t="s">
        <v>243</v>
      </c>
      <c r="H1" s="5" t="s">
        <v>279</v>
      </c>
    </row>
    <row r="2" spans="1:11">
      <c r="A2" s="5" t="s">
        <v>32</v>
      </c>
      <c r="B2" s="5" t="s">
        <v>33</v>
      </c>
      <c r="C2" s="5" t="s">
        <v>30</v>
      </c>
      <c r="D2" s="5" t="s">
        <v>31</v>
      </c>
      <c r="E2" s="5" t="s">
        <v>284</v>
      </c>
      <c r="F2" s="5" t="s">
        <v>283</v>
      </c>
      <c r="H2" s="53" t="s">
        <v>278</v>
      </c>
      <c r="I2" s="51" t="s">
        <v>29</v>
      </c>
      <c r="J2" s="51" t="s">
        <v>43</v>
      </c>
      <c r="K2" s="51" t="s">
        <v>28</v>
      </c>
    </row>
    <row r="3" spans="1:11">
      <c r="A3" t="s">
        <v>13</v>
      </c>
      <c r="B3" s="1" t="s">
        <v>63</v>
      </c>
      <c r="C3" t="s">
        <v>2</v>
      </c>
      <c r="D3" t="s">
        <v>28</v>
      </c>
      <c r="E3" s="3" t="s">
        <v>282</v>
      </c>
      <c r="F3" t="s">
        <v>42</v>
      </c>
      <c r="H3" s="53" t="s">
        <v>277</v>
      </c>
      <c r="I3" s="52">
        <v>0.1</v>
      </c>
      <c r="J3" s="52">
        <v>0.2</v>
      </c>
      <c r="K3" s="52">
        <v>0.05</v>
      </c>
    </row>
    <row r="4" spans="1:11">
      <c r="A4" t="s">
        <v>14</v>
      </c>
      <c r="B4" s="1" t="s">
        <v>64</v>
      </c>
      <c r="C4" s="3" t="s">
        <v>3</v>
      </c>
      <c r="D4" s="3" t="s">
        <v>29</v>
      </c>
      <c r="E4" s="3" t="s">
        <v>282</v>
      </c>
      <c r="F4" t="s">
        <v>42</v>
      </c>
    </row>
    <row r="5" spans="1:11">
      <c r="A5" t="s">
        <v>15</v>
      </c>
      <c r="B5" s="1" t="s">
        <v>65</v>
      </c>
      <c r="C5" s="2" t="s">
        <v>0</v>
      </c>
      <c r="D5" s="2" t="s">
        <v>29</v>
      </c>
      <c r="E5" s="2" t="s">
        <v>287</v>
      </c>
      <c r="F5" t="s">
        <v>42</v>
      </c>
    </row>
    <row r="6" spans="1:11">
      <c r="A6" t="s">
        <v>16</v>
      </c>
      <c r="B6" s="4" t="s">
        <v>66</v>
      </c>
      <c r="C6" t="s">
        <v>4</v>
      </c>
      <c r="D6" t="s">
        <v>29</v>
      </c>
      <c r="E6" t="s">
        <v>285</v>
      </c>
      <c r="F6" t="s">
        <v>42</v>
      </c>
    </row>
    <row r="7" spans="1:11">
      <c r="A7" t="s">
        <v>17</v>
      </c>
      <c r="B7" s="4" t="s">
        <v>67</v>
      </c>
      <c r="C7" t="s">
        <v>5</v>
      </c>
      <c r="D7" t="s">
        <v>29</v>
      </c>
      <c r="E7" t="s">
        <v>286</v>
      </c>
      <c r="F7" t="s">
        <v>42</v>
      </c>
    </row>
    <row r="8" spans="1:11">
      <c r="A8" t="s">
        <v>18</v>
      </c>
      <c r="B8" s="4" t="s">
        <v>6</v>
      </c>
      <c r="C8" t="s">
        <v>7</v>
      </c>
      <c r="D8" t="s">
        <v>29</v>
      </c>
      <c r="E8" s="3" t="s">
        <v>282</v>
      </c>
      <c r="F8" t="s">
        <v>76</v>
      </c>
    </row>
    <row r="9" spans="1:11">
      <c r="A9" t="s">
        <v>19</v>
      </c>
      <c r="B9" s="4" t="s">
        <v>8</v>
      </c>
      <c r="C9" t="s">
        <v>9</v>
      </c>
      <c r="D9" t="s">
        <v>28</v>
      </c>
      <c r="E9" s="3" t="s">
        <v>282</v>
      </c>
      <c r="F9" t="s">
        <v>42</v>
      </c>
    </row>
    <row r="10" spans="1:11">
      <c r="A10" t="s">
        <v>20</v>
      </c>
      <c r="B10" s="4" t="s">
        <v>68</v>
      </c>
      <c r="C10" t="s">
        <v>10</v>
      </c>
      <c r="D10" t="s">
        <v>29</v>
      </c>
      <c r="E10" s="2" t="s">
        <v>287</v>
      </c>
      <c r="F10" t="s">
        <v>42</v>
      </c>
    </row>
    <row r="11" spans="1:11">
      <c r="A11" t="s">
        <v>21</v>
      </c>
      <c r="B11" s="4" t="s">
        <v>11</v>
      </c>
      <c r="C11" t="s">
        <v>12</v>
      </c>
      <c r="D11" t="s">
        <v>29</v>
      </c>
      <c r="E11" t="s">
        <v>285</v>
      </c>
      <c r="F11" t="s">
        <v>42</v>
      </c>
    </row>
    <row r="12" spans="1:11">
      <c r="A12" t="s">
        <v>22</v>
      </c>
      <c r="B12" s="4" t="s">
        <v>69</v>
      </c>
      <c r="C12" t="s">
        <v>27</v>
      </c>
      <c r="D12" t="s">
        <v>43</v>
      </c>
      <c r="E12" t="s">
        <v>286</v>
      </c>
      <c r="F12" t="s">
        <v>44</v>
      </c>
    </row>
    <row r="13" spans="1:11">
      <c r="A13" t="s">
        <v>23</v>
      </c>
      <c r="B13" s="4" t="s">
        <v>34</v>
      </c>
      <c r="C13" t="s">
        <v>35</v>
      </c>
      <c r="D13" t="s">
        <v>29</v>
      </c>
      <c r="E13" t="s">
        <v>285</v>
      </c>
      <c r="F13" t="s">
        <v>42</v>
      </c>
    </row>
    <row r="14" spans="1:11">
      <c r="A14" t="s">
        <v>24</v>
      </c>
      <c r="B14" s="4" t="s">
        <v>70</v>
      </c>
      <c r="C14" t="s">
        <v>37</v>
      </c>
      <c r="D14" t="s">
        <v>29</v>
      </c>
      <c r="E14" t="s">
        <v>286</v>
      </c>
      <c r="F14" t="s">
        <v>42</v>
      </c>
    </row>
    <row r="15" spans="1:11">
      <c r="A15" t="s">
        <v>25</v>
      </c>
      <c r="B15" s="4" t="s">
        <v>71</v>
      </c>
      <c r="C15" t="s">
        <v>38</v>
      </c>
      <c r="D15" t="s">
        <v>29</v>
      </c>
      <c r="E15" s="2" t="s">
        <v>287</v>
      </c>
      <c r="F15" t="s">
        <v>42</v>
      </c>
    </row>
    <row r="16" spans="1:11">
      <c r="A16" t="s">
        <v>41</v>
      </c>
      <c r="B16" s="4" t="s">
        <v>39</v>
      </c>
      <c r="C16" t="s">
        <v>40</v>
      </c>
      <c r="D16" t="s">
        <v>29</v>
      </c>
      <c r="E16" t="s">
        <v>285</v>
      </c>
      <c r="F16" t="s">
        <v>76</v>
      </c>
    </row>
    <row r="17" spans="1:6">
      <c r="A17" t="s">
        <v>26</v>
      </c>
      <c r="B17" s="4" t="s">
        <v>72</v>
      </c>
      <c r="C17" t="s">
        <v>2</v>
      </c>
      <c r="D17" t="s">
        <v>29</v>
      </c>
      <c r="E17" t="s">
        <v>286</v>
      </c>
      <c r="F17" t="s">
        <v>42</v>
      </c>
    </row>
    <row r="18" spans="1:6">
      <c r="A18" t="s">
        <v>45</v>
      </c>
      <c r="B18" s="4" t="s">
        <v>73</v>
      </c>
      <c r="C18" t="s">
        <v>2</v>
      </c>
      <c r="D18" t="s">
        <v>43</v>
      </c>
      <c r="E18" s="3" t="s">
        <v>282</v>
      </c>
      <c r="F18" t="s">
        <v>42</v>
      </c>
    </row>
    <row r="19" spans="1:6">
      <c r="A19" t="s">
        <v>46</v>
      </c>
      <c r="B19" s="4" t="s">
        <v>74</v>
      </c>
      <c r="C19" t="s">
        <v>47</v>
      </c>
      <c r="D19" t="s">
        <v>28</v>
      </c>
      <c r="E19" s="3" t="s">
        <v>282</v>
      </c>
      <c r="F19" t="s">
        <v>42</v>
      </c>
    </row>
    <row r="20" spans="1:6">
      <c r="A20" t="s">
        <v>60</v>
      </c>
      <c r="B20" s="4" t="s">
        <v>48</v>
      </c>
      <c r="C20" t="s">
        <v>2</v>
      </c>
      <c r="D20" t="s">
        <v>28</v>
      </c>
      <c r="E20" s="2" t="s">
        <v>287</v>
      </c>
      <c r="F20" t="s">
        <v>76</v>
      </c>
    </row>
    <row r="21" spans="1:6">
      <c r="A21" t="s">
        <v>61</v>
      </c>
      <c r="B21" s="4" t="s">
        <v>75</v>
      </c>
      <c r="C21" t="s">
        <v>50</v>
      </c>
      <c r="D21" t="s">
        <v>29</v>
      </c>
      <c r="E21" t="s">
        <v>285</v>
      </c>
      <c r="F21" t="s">
        <v>42</v>
      </c>
    </row>
    <row r="22" spans="1:6">
      <c r="A22" t="s">
        <v>55</v>
      </c>
      <c r="B22" s="4" t="s">
        <v>54</v>
      </c>
      <c r="C22" t="s">
        <v>2</v>
      </c>
      <c r="D22" t="s">
        <v>43</v>
      </c>
      <c r="E22" t="s">
        <v>286</v>
      </c>
      <c r="F22" t="s">
        <v>76</v>
      </c>
    </row>
    <row r="23" spans="1:6">
      <c r="A23" t="s">
        <v>62</v>
      </c>
      <c r="B23" s="4" t="s">
        <v>56</v>
      </c>
      <c r="C23" t="s">
        <v>2</v>
      </c>
      <c r="D23" t="s">
        <v>43</v>
      </c>
      <c r="E23" t="s">
        <v>285</v>
      </c>
      <c r="F23" t="s">
        <v>44</v>
      </c>
    </row>
    <row r="24" spans="1:6">
      <c r="A24" t="s">
        <v>57</v>
      </c>
      <c r="B24" s="4" t="s">
        <v>58</v>
      </c>
      <c r="C24" t="s">
        <v>2</v>
      </c>
      <c r="D24" t="s">
        <v>28</v>
      </c>
      <c r="E24" t="s">
        <v>286</v>
      </c>
      <c r="F24" t="s">
        <v>44</v>
      </c>
    </row>
    <row r="31" spans="1:6">
      <c r="A31" t="s">
        <v>53</v>
      </c>
      <c r="B31" t="s">
        <v>52</v>
      </c>
    </row>
    <row r="51" spans="1:2">
      <c r="A51" t="s">
        <v>51</v>
      </c>
      <c r="B51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showGridLines="0" workbookViewId="0">
      <selection activeCell="E3" sqref="E3"/>
    </sheetView>
  </sheetViews>
  <sheetFormatPr defaultColWidth="10.88671875" defaultRowHeight="13.8"/>
  <cols>
    <col min="1" max="1" width="12.109375" style="6" bestFit="1" customWidth="1"/>
    <col min="2" max="2" width="18.88671875" style="7" bestFit="1" customWidth="1"/>
    <col min="3" max="3" width="22.109375" style="7" customWidth="1"/>
    <col min="4" max="4" width="16.5546875" style="6" bestFit="1" customWidth="1"/>
    <col min="5" max="5" width="9.33203125" style="6" bestFit="1" customWidth="1"/>
    <col min="6" max="6" width="7.6640625" style="6" bestFit="1" customWidth="1"/>
    <col min="7" max="7" width="36.88671875" style="8" customWidth="1"/>
    <col min="8" max="8" width="8.6640625" style="15" customWidth="1"/>
    <col min="9" max="9" width="10.88671875" style="16"/>
    <col min="10" max="16384" width="10.88671875" style="6"/>
  </cols>
  <sheetData>
    <row r="1" spans="1:10" ht="22.8">
      <c r="A1" s="18" t="s">
        <v>244</v>
      </c>
    </row>
    <row r="2" spans="1:10" ht="24.75" customHeight="1">
      <c r="A2" s="10" t="s">
        <v>32</v>
      </c>
      <c r="B2" s="11" t="s">
        <v>77</v>
      </c>
      <c r="C2" s="11" t="s">
        <v>78</v>
      </c>
      <c r="D2" s="10" t="s">
        <v>79</v>
      </c>
      <c r="E2" s="10" t="s">
        <v>80</v>
      </c>
      <c r="F2" s="10" t="s">
        <v>81</v>
      </c>
      <c r="G2" s="12" t="s">
        <v>83</v>
      </c>
      <c r="H2" s="13" t="s">
        <v>82</v>
      </c>
      <c r="I2" s="14" t="s">
        <v>59</v>
      </c>
    </row>
    <row r="3" spans="1:10" ht="24.75" customHeight="1">
      <c r="A3" s="6" t="s">
        <v>89</v>
      </c>
      <c r="B3" s="7" t="s">
        <v>88</v>
      </c>
      <c r="C3" s="7" t="s">
        <v>84</v>
      </c>
      <c r="D3" s="6" t="s">
        <v>85</v>
      </c>
      <c r="E3" s="6">
        <v>33.799999999999997</v>
      </c>
      <c r="F3" s="6">
        <v>1000</v>
      </c>
      <c r="G3" s="8" t="s">
        <v>90</v>
      </c>
      <c r="H3" s="15">
        <v>51</v>
      </c>
      <c r="I3" s="16">
        <v>3.7777777777777777</v>
      </c>
    </row>
    <row r="4" spans="1:10" ht="24.75" customHeight="1">
      <c r="A4" s="6" t="s">
        <v>91</v>
      </c>
      <c r="B4" s="7" t="s">
        <v>88</v>
      </c>
      <c r="C4" s="7" t="s">
        <v>84</v>
      </c>
      <c r="D4" s="6" t="s">
        <v>85</v>
      </c>
      <c r="E4" s="6">
        <v>8.5</v>
      </c>
      <c r="F4" s="6">
        <v>250</v>
      </c>
      <c r="G4" s="8" t="s">
        <v>92</v>
      </c>
      <c r="H4" s="15">
        <v>113</v>
      </c>
      <c r="I4" s="16">
        <v>8.3703703703703702</v>
      </c>
    </row>
    <row r="5" spans="1:10" ht="24.75" customHeight="1">
      <c r="A5" s="6" t="s">
        <v>93</v>
      </c>
      <c r="B5" s="7" t="s">
        <v>88</v>
      </c>
      <c r="C5" s="7" t="s">
        <v>86</v>
      </c>
      <c r="D5" s="6" t="s">
        <v>85</v>
      </c>
      <c r="E5" s="6">
        <v>8.5</v>
      </c>
      <c r="F5" s="6">
        <v>250</v>
      </c>
      <c r="G5" s="8" t="s">
        <v>94</v>
      </c>
      <c r="H5" s="15">
        <v>139</v>
      </c>
      <c r="I5" s="16">
        <v>10.296296296296296</v>
      </c>
    </row>
    <row r="6" spans="1:10" ht="24.75" customHeight="1">
      <c r="A6" s="6" t="s">
        <v>95</v>
      </c>
      <c r="B6" s="7" t="s">
        <v>88</v>
      </c>
      <c r="C6" s="7" t="s">
        <v>86</v>
      </c>
      <c r="D6" s="6" t="s">
        <v>85</v>
      </c>
      <c r="E6" s="6">
        <v>33.799999999999997</v>
      </c>
      <c r="F6" s="6">
        <v>1000</v>
      </c>
      <c r="G6" s="8" t="s">
        <v>96</v>
      </c>
      <c r="H6" s="15">
        <v>62</v>
      </c>
      <c r="I6" s="16">
        <v>4.5925925925925926</v>
      </c>
    </row>
    <row r="7" spans="1:10" ht="24.75" customHeight="1">
      <c r="A7" s="6" t="s">
        <v>97</v>
      </c>
      <c r="B7" s="7" t="s">
        <v>88</v>
      </c>
      <c r="C7" s="7" t="s">
        <v>86</v>
      </c>
      <c r="D7" s="6" t="s">
        <v>85</v>
      </c>
      <c r="E7" s="6">
        <v>8.5</v>
      </c>
      <c r="F7" s="6">
        <v>205</v>
      </c>
      <c r="G7" s="8" t="s">
        <v>98</v>
      </c>
      <c r="H7" s="15">
        <v>87</v>
      </c>
      <c r="I7" s="16">
        <v>6.4444444444444438</v>
      </c>
    </row>
    <row r="8" spans="1:10" ht="24.75" customHeight="1">
      <c r="A8" s="6" t="s">
        <v>99</v>
      </c>
      <c r="B8" s="7" t="s">
        <v>88</v>
      </c>
      <c r="C8" s="7" t="s">
        <v>100</v>
      </c>
      <c r="D8" s="6" t="s">
        <v>85</v>
      </c>
      <c r="E8" s="6">
        <v>33.799999999999997</v>
      </c>
      <c r="F8" s="6">
        <v>1000</v>
      </c>
      <c r="G8" s="8" t="s">
        <v>101</v>
      </c>
      <c r="H8" s="15">
        <v>97</v>
      </c>
      <c r="I8" s="16">
        <v>7.1851851851851851</v>
      </c>
    </row>
    <row r="9" spans="1:10" ht="24.75" customHeight="1">
      <c r="A9" s="6" t="s">
        <v>104</v>
      </c>
      <c r="B9" s="7" t="s">
        <v>103</v>
      </c>
      <c r="C9" s="7" t="s">
        <v>105</v>
      </c>
      <c r="D9" s="6" t="s">
        <v>85</v>
      </c>
      <c r="E9" s="6">
        <v>16.899999999999999</v>
      </c>
      <c r="F9" s="6">
        <v>1000</v>
      </c>
      <c r="G9" s="8" t="s">
        <v>106</v>
      </c>
      <c r="H9" s="15">
        <v>50</v>
      </c>
      <c r="I9" s="16">
        <v>3.7037037037037037</v>
      </c>
    </row>
    <row r="10" spans="1:10" ht="24.75" customHeight="1">
      <c r="A10" s="6" t="s">
        <v>49</v>
      </c>
      <c r="B10" s="7" t="s">
        <v>103</v>
      </c>
      <c r="C10" s="7" t="s">
        <v>86</v>
      </c>
      <c r="D10" s="6" t="s">
        <v>85</v>
      </c>
      <c r="E10" s="6">
        <v>33.799999999999997</v>
      </c>
      <c r="F10" s="6">
        <v>1000</v>
      </c>
      <c r="G10" s="8" t="s">
        <v>108</v>
      </c>
      <c r="H10" s="15">
        <v>115</v>
      </c>
      <c r="I10" s="16">
        <v>8.5185185185185173</v>
      </c>
      <c r="J10" s="17"/>
    </row>
    <row r="11" spans="1:10" ht="24.75" customHeight="1">
      <c r="A11" s="6" t="s">
        <v>109</v>
      </c>
      <c r="B11" s="7" t="s">
        <v>103</v>
      </c>
      <c r="C11" s="7" t="s">
        <v>86</v>
      </c>
      <c r="D11" s="6" t="s">
        <v>107</v>
      </c>
      <c r="E11" s="6">
        <v>10.1</v>
      </c>
      <c r="F11" s="6">
        <v>300</v>
      </c>
      <c r="G11" s="8" t="s">
        <v>108</v>
      </c>
      <c r="H11" s="15">
        <v>148</v>
      </c>
      <c r="I11" s="16">
        <v>10.962962962962962</v>
      </c>
    </row>
    <row r="12" spans="1:10" ht="24.75" customHeight="1">
      <c r="A12" s="6" t="s">
        <v>110</v>
      </c>
      <c r="B12" s="7" t="s">
        <v>103</v>
      </c>
      <c r="C12" s="7" t="s">
        <v>86</v>
      </c>
      <c r="D12" s="6" t="s">
        <v>85</v>
      </c>
      <c r="E12" s="6">
        <v>5.0999999999999996</v>
      </c>
      <c r="F12" s="6">
        <v>150</v>
      </c>
      <c r="G12" s="8" t="s">
        <v>111</v>
      </c>
      <c r="H12" s="15">
        <v>94</v>
      </c>
      <c r="I12" s="16">
        <v>6.9629629629629628</v>
      </c>
    </row>
    <row r="13" spans="1:10" ht="24.75" customHeight="1">
      <c r="A13" s="6" t="s">
        <v>112</v>
      </c>
      <c r="B13" s="7" t="s">
        <v>103</v>
      </c>
      <c r="C13" s="7" t="s">
        <v>86</v>
      </c>
      <c r="D13" s="6" t="s">
        <v>85</v>
      </c>
      <c r="E13" s="6">
        <v>6.76</v>
      </c>
      <c r="F13" s="6">
        <v>200</v>
      </c>
      <c r="G13" s="8" t="s">
        <v>113</v>
      </c>
      <c r="H13" s="15">
        <v>133</v>
      </c>
      <c r="I13" s="16">
        <v>9.8518518518518512</v>
      </c>
    </row>
    <row r="14" spans="1:10" ht="24.75" customHeight="1">
      <c r="A14" s="6" t="s">
        <v>114</v>
      </c>
      <c r="B14" s="7" t="s">
        <v>103</v>
      </c>
      <c r="C14" s="7" t="s">
        <v>86</v>
      </c>
      <c r="D14" s="6" t="s">
        <v>85</v>
      </c>
      <c r="E14" s="6">
        <v>6.76</v>
      </c>
      <c r="F14" s="6">
        <v>200</v>
      </c>
      <c r="G14" s="8" t="s">
        <v>115</v>
      </c>
      <c r="H14" s="15">
        <v>67</v>
      </c>
      <c r="I14" s="16">
        <v>4.9629629629629628</v>
      </c>
    </row>
    <row r="15" spans="1:10" ht="24.75" customHeight="1">
      <c r="A15" s="6" t="s">
        <v>116</v>
      </c>
      <c r="B15" s="7" t="s">
        <v>103</v>
      </c>
      <c r="C15" s="7" t="s">
        <v>100</v>
      </c>
      <c r="D15" s="6" t="s">
        <v>85</v>
      </c>
      <c r="E15" s="6">
        <v>6.76</v>
      </c>
      <c r="F15" s="6">
        <v>200</v>
      </c>
      <c r="G15" s="8" t="s">
        <v>117</v>
      </c>
      <c r="H15" s="15">
        <v>95</v>
      </c>
      <c r="I15" s="16">
        <v>7.0370370370370372</v>
      </c>
    </row>
    <row r="16" spans="1:10" ht="24.75" customHeight="1">
      <c r="A16" s="6" t="s">
        <v>118</v>
      </c>
      <c r="B16" s="7" t="s">
        <v>103</v>
      </c>
      <c r="C16" s="7" t="s">
        <v>100</v>
      </c>
      <c r="D16" s="6" t="s">
        <v>85</v>
      </c>
      <c r="E16" s="6">
        <v>4.2300000000000004</v>
      </c>
      <c r="F16" s="6">
        <v>125</v>
      </c>
      <c r="G16" s="8" t="s">
        <v>119</v>
      </c>
      <c r="H16" s="15">
        <v>114</v>
      </c>
      <c r="I16" s="16">
        <v>8.4444444444444446</v>
      </c>
    </row>
    <row r="17" spans="1:9" ht="24.75" customHeight="1">
      <c r="A17" s="6" t="s">
        <v>120</v>
      </c>
      <c r="B17" s="7" t="s">
        <v>103</v>
      </c>
      <c r="C17" s="7" t="s">
        <v>100</v>
      </c>
      <c r="D17" s="6" t="s">
        <v>85</v>
      </c>
      <c r="E17" s="6">
        <v>5.18</v>
      </c>
      <c r="F17" s="6">
        <v>150</v>
      </c>
      <c r="G17" s="8" t="s">
        <v>121</v>
      </c>
      <c r="H17" s="15">
        <v>82</v>
      </c>
      <c r="I17" s="16">
        <v>6.0740740740740744</v>
      </c>
    </row>
    <row r="18" spans="1:9" ht="24.75" customHeight="1">
      <c r="A18" s="6" t="s">
        <v>122</v>
      </c>
      <c r="B18" s="7" t="s">
        <v>103</v>
      </c>
      <c r="C18" s="7" t="s">
        <v>100</v>
      </c>
      <c r="D18" s="6" t="s">
        <v>85</v>
      </c>
      <c r="E18" s="6">
        <v>6.76</v>
      </c>
      <c r="F18" s="6">
        <v>200</v>
      </c>
      <c r="G18" s="8" t="s">
        <v>123</v>
      </c>
      <c r="H18" s="15">
        <v>61</v>
      </c>
      <c r="I18" s="16">
        <v>4.5185185185185182</v>
      </c>
    </row>
    <row r="19" spans="1:9" ht="24.75" customHeight="1">
      <c r="A19" s="6" t="s">
        <v>125</v>
      </c>
      <c r="B19" s="7" t="s">
        <v>103</v>
      </c>
      <c r="C19" s="7" t="s">
        <v>126</v>
      </c>
      <c r="D19" s="6" t="s">
        <v>85</v>
      </c>
      <c r="E19" s="6">
        <v>33.799999999999997</v>
      </c>
      <c r="F19" s="6">
        <v>1000</v>
      </c>
      <c r="G19" s="8" t="s">
        <v>127</v>
      </c>
      <c r="H19" s="15">
        <v>84</v>
      </c>
      <c r="I19" s="16">
        <v>6.2222222222222223</v>
      </c>
    </row>
    <row r="20" spans="1:9" ht="24.75" customHeight="1">
      <c r="A20" s="6" t="s">
        <v>128</v>
      </c>
      <c r="B20" s="7" t="s">
        <v>103</v>
      </c>
      <c r="C20" s="7" t="s">
        <v>102</v>
      </c>
      <c r="D20" s="6" t="s">
        <v>85</v>
      </c>
      <c r="E20" s="6">
        <v>10.1</v>
      </c>
      <c r="F20" s="6">
        <v>300</v>
      </c>
      <c r="G20" s="8" t="s">
        <v>129</v>
      </c>
      <c r="H20" s="15">
        <v>142</v>
      </c>
      <c r="I20" s="16">
        <v>10.518518518518517</v>
      </c>
    </row>
    <row r="21" spans="1:9" ht="24.75" customHeight="1">
      <c r="A21" s="6" t="s">
        <v>130</v>
      </c>
      <c r="B21" s="7" t="s">
        <v>103</v>
      </c>
      <c r="C21" s="7" t="s">
        <v>102</v>
      </c>
      <c r="D21" s="6" t="s">
        <v>85</v>
      </c>
      <c r="E21" s="6">
        <v>5.29</v>
      </c>
      <c r="F21" s="6">
        <v>300</v>
      </c>
      <c r="G21" s="8" t="s">
        <v>131</v>
      </c>
      <c r="H21" s="15">
        <v>137</v>
      </c>
      <c r="I21" s="16">
        <v>10.148148148148149</v>
      </c>
    </row>
    <row r="22" spans="1:9" ht="24.75" customHeight="1">
      <c r="A22" s="6" t="s">
        <v>132</v>
      </c>
      <c r="B22" s="7" t="s">
        <v>103</v>
      </c>
      <c r="C22" s="7" t="s">
        <v>102</v>
      </c>
      <c r="D22" s="6" t="s">
        <v>85</v>
      </c>
      <c r="E22" s="6">
        <v>150</v>
      </c>
      <c r="F22" s="6">
        <v>5.07</v>
      </c>
      <c r="G22" s="8" t="s">
        <v>133</v>
      </c>
      <c r="H22" s="15">
        <v>87</v>
      </c>
      <c r="I22" s="16">
        <v>6.4444444444444438</v>
      </c>
    </row>
    <row r="23" spans="1:9" ht="24.75" customHeight="1">
      <c r="A23" s="6" t="s">
        <v>134</v>
      </c>
      <c r="B23" s="7" t="s">
        <v>103</v>
      </c>
      <c r="C23" s="7" t="s">
        <v>86</v>
      </c>
      <c r="D23" s="6" t="s">
        <v>85</v>
      </c>
      <c r="E23" s="6">
        <v>6.76</v>
      </c>
      <c r="F23" s="6">
        <v>200</v>
      </c>
      <c r="G23" s="8" t="s">
        <v>135</v>
      </c>
      <c r="H23" s="15">
        <v>73</v>
      </c>
      <c r="I23" s="16">
        <v>5.4074074074074074</v>
      </c>
    </row>
    <row r="24" spans="1:9" ht="24.75" customHeight="1">
      <c r="A24" s="6" t="s">
        <v>136</v>
      </c>
      <c r="B24" s="7" t="s">
        <v>103</v>
      </c>
      <c r="C24" s="7" t="s">
        <v>86</v>
      </c>
      <c r="D24" s="6" t="s">
        <v>85</v>
      </c>
      <c r="E24" s="6">
        <v>6.76</v>
      </c>
      <c r="F24" s="6">
        <v>200</v>
      </c>
      <c r="G24" s="8" t="s">
        <v>137</v>
      </c>
      <c r="H24" s="15">
        <v>56</v>
      </c>
      <c r="I24" s="16">
        <v>4.1481481481481479</v>
      </c>
    </row>
    <row r="25" spans="1:9" ht="24.75" customHeight="1">
      <c r="A25" s="6" t="s">
        <v>138</v>
      </c>
      <c r="B25" s="7" t="s">
        <v>103</v>
      </c>
      <c r="C25" s="7" t="s">
        <v>105</v>
      </c>
      <c r="D25" s="6" t="s">
        <v>85</v>
      </c>
      <c r="E25" s="6">
        <v>16.899999999999999</v>
      </c>
      <c r="F25" s="6">
        <v>500</v>
      </c>
      <c r="G25" s="8" t="s">
        <v>139</v>
      </c>
      <c r="H25" s="15">
        <v>145</v>
      </c>
      <c r="I25" s="16">
        <v>10.74074074074074</v>
      </c>
    </row>
    <row r="26" spans="1:9" ht="24.75" customHeight="1">
      <c r="A26" s="6" t="s">
        <v>140</v>
      </c>
      <c r="B26" s="7" t="s">
        <v>103</v>
      </c>
      <c r="C26" s="7" t="s">
        <v>124</v>
      </c>
      <c r="D26" s="6" t="s">
        <v>85</v>
      </c>
      <c r="E26" s="6">
        <v>8.6</v>
      </c>
      <c r="F26" s="6">
        <v>275</v>
      </c>
      <c r="G26" s="8" t="s">
        <v>141</v>
      </c>
      <c r="H26" s="15">
        <v>87</v>
      </c>
      <c r="I26" s="16">
        <v>6.4444444444444438</v>
      </c>
    </row>
    <row r="27" spans="1:9" ht="24.75" customHeight="1">
      <c r="A27" s="6" t="s">
        <v>142</v>
      </c>
      <c r="B27" s="7" t="s">
        <v>103</v>
      </c>
      <c r="C27" s="7" t="s">
        <v>86</v>
      </c>
      <c r="D27" s="6" t="s">
        <v>85</v>
      </c>
      <c r="E27" s="6">
        <v>16.899999999999999</v>
      </c>
      <c r="F27" s="6">
        <v>500</v>
      </c>
      <c r="G27" s="8" t="s">
        <v>143</v>
      </c>
      <c r="H27" s="15">
        <v>105</v>
      </c>
      <c r="I27" s="16">
        <v>7.7777777777777768</v>
      </c>
    </row>
    <row r="28" spans="1:9" ht="24.75" customHeight="1">
      <c r="A28" s="6" t="s">
        <v>144</v>
      </c>
      <c r="B28" s="7" t="s">
        <v>103</v>
      </c>
      <c r="C28" s="7" t="s">
        <v>86</v>
      </c>
      <c r="D28" s="6" t="s">
        <v>85</v>
      </c>
      <c r="E28" s="6">
        <v>6.76</v>
      </c>
      <c r="F28" s="6">
        <v>200</v>
      </c>
      <c r="G28" s="8" t="s">
        <v>145</v>
      </c>
      <c r="H28" s="15">
        <v>146</v>
      </c>
      <c r="I28" s="16">
        <v>10.814814814814815</v>
      </c>
    </row>
    <row r="29" spans="1:9" ht="24.75" customHeight="1">
      <c r="A29" s="6" t="s">
        <v>146</v>
      </c>
      <c r="B29" s="7" t="s">
        <v>103</v>
      </c>
      <c r="C29" s="7" t="s">
        <v>100</v>
      </c>
      <c r="D29" s="6" t="s">
        <v>85</v>
      </c>
      <c r="E29" s="6">
        <v>3.4</v>
      </c>
      <c r="F29" s="6">
        <v>100</v>
      </c>
      <c r="G29" s="8" t="s">
        <v>147</v>
      </c>
      <c r="H29" s="15">
        <v>67</v>
      </c>
      <c r="I29" s="16">
        <v>4.9629629629629628</v>
      </c>
    </row>
    <row r="30" spans="1:9" ht="24.75" customHeight="1">
      <c r="A30" s="6" t="s">
        <v>148</v>
      </c>
      <c r="B30" s="7" t="s">
        <v>103</v>
      </c>
      <c r="C30" s="7" t="s">
        <v>87</v>
      </c>
      <c r="D30" s="6" t="s">
        <v>85</v>
      </c>
      <c r="E30" s="6">
        <v>3.4</v>
      </c>
      <c r="F30" s="6">
        <v>100</v>
      </c>
      <c r="G30" s="8" t="s">
        <v>149</v>
      </c>
      <c r="H30" s="15">
        <v>68</v>
      </c>
      <c r="I30" s="16">
        <v>5.0370370370370372</v>
      </c>
    </row>
    <row r="31" spans="1:9" ht="24.75" customHeight="1">
      <c r="A31" s="6" t="s">
        <v>150</v>
      </c>
      <c r="B31" s="7" t="s">
        <v>103</v>
      </c>
      <c r="C31" s="7" t="s">
        <v>151</v>
      </c>
      <c r="D31" s="6" t="s">
        <v>85</v>
      </c>
      <c r="E31" s="6">
        <v>33.799999999999997</v>
      </c>
      <c r="F31" s="6">
        <v>1000</v>
      </c>
      <c r="G31" s="8" t="s">
        <v>152</v>
      </c>
      <c r="H31" s="15">
        <v>100</v>
      </c>
      <c r="I31" s="16">
        <v>7.4074074074074074</v>
      </c>
    </row>
    <row r="32" spans="1:9" ht="24.75" customHeight="1">
      <c r="A32" s="6" t="s">
        <v>153</v>
      </c>
      <c r="B32" s="7" t="s">
        <v>103</v>
      </c>
      <c r="C32" s="7" t="s">
        <v>151</v>
      </c>
      <c r="D32" s="6" t="s">
        <v>85</v>
      </c>
      <c r="E32" s="6">
        <v>33.799999999999997</v>
      </c>
      <c r="F32" s="6">
        <v>1000</v>
      </c>
      <c r="G32" s="8" t="s">
        <v>154</v>
      </c>
      <c r="H32" s="15">
        <v>74</v>
      </c>
      <c r="I32" s="16">
        <v>5.481481481481481</v>
      </c>
    </row>
    <row r="33" spans="1:9" ht="24.75" customHeight="1">
      <c r="A33" s="6" t="s">
        <v>155</v>
      </c>
      <c r="B33" s="7" t="s">
        <v>103</v>
      </c>
      <c r="C33" s="7" t="s">
        <v>151</v>
      </c>
      <c r="D33" s="6" t="s">
        <v>85</v>
      </c>
      <c r="E33" s="6">
        <v>8.4</v>
      </c>
      <c r="F33" s="6">
        <v>250</v>
      </c>
      <c r="G33" s="8" t="s">
        <v>156</v>
      </c>
      <c r="H33" s="15">
        <v>57</v>
      </c>
      <c r="I33" s="16">
        <v>4.2222222222222223</v>
      </c>
    </row>
    <row r="34" spans="1:9" ht="24.75" customHeight="1">
      <c r="A34" s="6" t="s">
        <v>160</v>
      </c>
      <c r="B34" s="7" t="s">
        <v>159</v>
      </c>
      <c r="C34" s="7" t="s">
        <v>84</v>
      </c>
      <c r="D34" s="6" t="s">
        <v>85</v>
      </c>
      <c r="E34" s="6">
        <v>13.5</v>
      </c>
      <c r="F34" s="6">
        <v>400</v>
      </c>
      <c r="G34" s="8" t="s">
        <v>161</v>
      </c>
      <c r="H34" s="15">
        <v>79</v>
      </c>
      <c r="I34" s="16">
        <v>5.8518518518518512</v>
      </c>
    </row>
    <row r="35" spans="1:9" ht="24.75" customHeight="1">
      <c r="A35" s="6" t="s">
        <v>162</v>
      </c>
      <c r="B35" s="7" t="s">
        <v>159</v>
      </c>
      <c r="C35" s="7" t="s">
        <v>84</v>
      </c>
      <c r="D35" s="6" t="s">
        <v>85</v>
      </c>
      <c r="E35" s="6">
        <v>4</v>
      </c>
      <c r="F35" s="6">
        <v>100</v>
      </c>
      <c r="G35" s="8" t="s">
        <v>163</v>
      </c>
      <c r="H35" s="15">
        <v>137</v>
      </c>
      <c r="I35" s="16">
        <v>10.148148148148149</v>
      </c>
    </row>
    <row r="36" spans="1:9" ht="24.75" customHeight="1">
      <c r="A36" s="6" t="s">
        <v>164</v>
      </c>
      <c r="B36" s="7" t="s">
        <v>159</v>
      </c>
      <c r="C36" s="7" t="s">
        <v>86</v>
      </c>
      <c r="D36" s="6" t="s">
        <v>85</v>
      </c>
      <c r="E36" s="6">
        <v>4</v>
      </c>
      <c r="F36" s="6">
        <v>118</v>
      </c>
      <c r="G36" s="8" t="s">
        <v>165</v>
      </c>
      <c r="H36" s="15">
        <v>50</v>
      </c>
      <c r="I36" s="16">
        <v>3.7037037037037037</v>
      </c>
    </row>
    <row r="37" spans="1:9" ht="24.75" customHeight="1">
      <c r="A37" s="6" t="s">
        <v>166</v>
      </c>
      <c r="B37" s="7" t="s">
        <v>159</v>
      </c>
      <c r="C37" s="7" t="s">
        <v>157</v>
      </c>
      <c r="D37" s="6" t="s">
        <v>85</v>
      </c>
      <c r="E37" s="6">
        <v>8</v>
      </c>
      <c r="F37" s="6">
        <v>236</v>
      </c>
      <c r="G37" s="8" t="s">
        <v>167</v>
      </c>
      <c r="H37" s="15">
        <v>74</v>
      </c>
      <c r="I37" s="16">
        <v>5.481481481481481</v>
      </c>
    </row>
    <row r="38" spans="1:9" ht="24.75" customHeight="1">
      <c r="A38" s="6" t="s">
        <v>168</v>
      </c>
      <c r="B38" s="7" t="s">
        <v>159</v>
      </c>
      <c r="C38" s="7" t="s">
        <v>86</v>
      </c>
      <c r="D38" s="6" t="s">
        <v>85</v>
      </c>
      <c r="E38" s="6">
        <v>16</v>
      </c>
      <c r="F38" s="6">
        <v>473</v>
      </c>
      <c r="G38" s="8" t="s">
        <v>169</v>
      </c>
      <c r="H38" s="15">
        <v>51</v>
      </c>
      <c r="I38" s="16">
        <v>3.7777777777777777</v>
      </c>
    </row>
    <row r="39" spans="1:9" ht="24.75" customHeight="1">
      <c r="A39" s="6" t="s">
        <v>170</v>
      </c>
      <c r="B39" s="7" t="s">
        <v>159</v>
      </c>
      <c r="C39" s="7" t="s">
        <v>157</v>
      </c>
      <c r="D39" s="6" t="s">
        <v>85</v>
      </c>
      <c r="E39" s="6">
        <v>8</v>
      </c>
      <c r="F39" s="6">
        <v>225</v>
      </c>
      <c r="G39" s="8" t="s">
        <v>171</v>
      </c>
      <c r="H39" s="15">
        <v>145</v>
      </c>
      <c r="I39" s="16">
        <v>10.74074074074074</v>
      </c>
    </row>
    <row r="40" spans="1:9" ht="24.75" customHeight="1">
      <c r="A40" s="6" t="s">
        <v>172</v>
      </c>
      <c r="B40" s="7" t="s">
        <v>159</v>
      </c>
      <c r="C40" s="7" t="s">
        <v>173</v>
      </c>
      <c r="D40" s="6" t="s">
        <v>85</v>
      </c>
      <c r="E40" s="6">
        <v>8</v>
      </c>
      <c r="F40" s="6">
        <v>225</v>
      </c>
      <c r="G40" s="8" t="s">
        <v>174</v>
      </c>
      <c r="H40" s="15">
        <v>67</v>
      </c>
      <c r="I40" s="16">
        <v>4.9629629629629628</v>
      </c>
    </row>
    <row r="41" spans="1:9" ht="24.75" customHeight="1">
      <c r="A41" s="6" t="s">
        <v>175</v>
      </c>
      <c r="B41" s="7" t="s">
        <v>159</v>
      </c>
      <c r="C41" s="7" t="s">
        <v>173</v>
      </c>
      <c r="D41" s="6" t="s">
        <v>85</v>
      </c>
      <c r="E41" s="6">
        <v>16</v>
      </c>
      <c r="F41" s="6">
        <v>450</v>
      </c>
      <c r="G41" s="8" t="s">
        <v>176</v>
      </c>
      <c r="H41" s="15">
        <v>75</v>
      </c>
      <c r="I41" s="16">
        <v>5.5555555555555554</v>
      </c>
    </row>
    <row r="42" spans="1:9" ht="24.75" customHeight="1">
      <c r="A42" s="6" t="s">
        <v>177</v>
      </c>
      <c r="B42" s="7" t="s">
        <v>159</v>
      </c>
      <c r="C42" s="7" t="s">
        <v>86</v>
      </c>
      <c r="D42" s="6" t="s">
        <v>85</v>
      </c>
      <c r="E42" s="6">
        <v>16</v>
      </c>
      <c r="F42" s="6">
        <v>450</v>
      </c>
      <c r="G42" s="8" t="s">
        <v>178</v>
      </c>
      <c r="H42" s="15">
        <v>108</v>
      </c>
      <c r="I42" s="16">
        <v>8</v>
      </c>
    </row>
    <row r="43" spans="1:9" ht="24.75" customHeight="1">
      <c r="A43" s="6" t="s">
        <v>179</v>
      </c>
      <c r="B43" s="7" t="s">
        <v>159</v>
      </c>
      <c r="C43" s="7" t="s">
        <v>173</v>
      </c>
      <c r="D43" s="6" t="s">
        <v>85</v>
      </c>
      <c r="E43" s="6">
        <v>4</v>
      </c>
      <c r="F43" s="6">
        <v>118</v>
      </c>
      <c r="G43" s="8" t="s">
        <v>180</v>
      </c>
      <c r="H43" s="15">
        <v>82</v>
      </c>
      <c r="I43" s="16">
        <v>6.0740740740740744</v>
      </c>
    </row>
    <row r="44" spans="1:9" ht="24.75" customHeight="1">
      <c r="A44" s="6" t="s">
        <v>181</v>
      </c>
      <c r="B44" s="7" t="s">
        <v>159</v>
      </c>
      <c r="C44" s="7" t="s">
        <v>86</v>
      </c>
      <c r="D44" s="6" t="s">
        <v>85</v>
      </c>
      <c r="E44" s="6">
        <v>4</v>
      </c>
      <c r="F44" s="6">
        <v>118</v>
      </c>
      <c r="G44" s="8" t="s">
        <v>182</v>
      </c>
      <c r="H44" s="15">
        <v>59</v>
      </c>
      <c r="I44" s="16">
        <v>4.3703703703703702</v>
      </c>
    </row>
    <row r="45" spans="1:9" ht="24.75" customHeight="1">
      <c r="A45" s="6" t="s">
        <v>183</v>
      </c>
      <c r="B45" s="7" t="s">
        <v>159</v>
      </c>
      <c r="C45" s="7" t="s">
        <v>87</v>
      </c>
      <c r="D45" s="6" t="s">
        <v>85</v>
      </c>
      <c r="E45" s="6">
        <v>33.799999999999997</v>
      </c>
      <c r="F45" s="6">
        <v>1000</v>
      </c>
      <c r="G45" s="8" t="s">
        <v>184</v>
      </c>
      <c r="H45" s="15">
        <v>51</v>
      </c>
      <c r="I45" s="16">
        <v>3.7777777777777777</v>
      </c>
    </row>
    <row r="46" spans="1:9" ht="24.75" customHeight="1">
      <c r="A46" s="6" t="s">
        <v>185</v>
      </c>
      <c r="B46" s="7" t="s">
        <v>159</v>
      </c>
      <c r="C46" s="7" t="s">
        <v>87</v>
      </c>
      <c r="D46" s="6" t="s">
        <v>85</v>
      </c>
      <c r="E46" s="6">
        <v>8.5</v>
      </c>
      <c r="F46" s="6">
        <v>250</v>
      </c>
      <c r="G46" s="8" t="s">
        <v>186</v>
      </c>
      <c r="H46" s="15">
        <v>91</v>
      </c>
      <c r="I46" s="16">
        <v>6.7407407407407414</v>
      </c>
    </row>
    <row r="47" spans="1:9" ht="24.75" customHeight="1">
      <c r="A47" s="6" t="s">
        <v>187</v>
      </c>
      <c r="B47" s="7" t="s">
        <v>159</v>
      </c>
      <c r="C47" s="7" t="s">
        <v>86</v>
      </c>
      <c r="D47" s="6" t="s">
        <v>85</v>
      </c>
      <c r="E47" s="6">
        <v>8.5</v>
      </c>
      <c r="F47" s="6">
        <v>250</v>
      </c>
      <c r="G47" s="8" t="s">
        <v>188</v>
      </c>
      <c r="H47" s="15">
        <v>93</v>
      </c>
      <c r="I47" s="16">
        <v>6.8888888888888884</v>
      </c>
    </row>
    <row r="48" spans="1:9" ht="24.75" customHeight="1">
      <c r="A48" s="6" t="s">
        <v>190</v>
      </c>
      <c r="B48" s="7" t="s">
        <v>189</v>
      </c>
      <c r="C48" s="7" t="s">
        <v>100</v>
      </c>
      <c r="D48" s="6" t="s">
        <v>85</v>
      </c>
      <c r="E48" s="6">
        <v>8</v>
      </c>
      <c r="F48" s="6">
        <v>236</v>
      </c>
      <c r="G48" s="8" t="s">
        <v>191</v>
      </c>
      <c r="H48" s="15">
        <v>54</v>
      </c>
      <c r="I48" s="16">
        <v>4</v>
      </c>
    </row>
    <row r="49" spans="1:9" ht="24.75" customHeight="1">
      <c r="A49" s="6" t="s">
        <v>192</v>
      </c>
      <c r="B49" s="7" t="s">
        <v>189</v>
      </c>
      <c r="C49" s="7" t="s">
        <v>86</v>
      </c>
      <c r="D49" s="6" t="s">
        <v>85</v>
      </c>
      <c r="E49" s="6">
        <v>16</v>
      </c>
      <c r="F49" s="6">
        <v>473</v>
      </c>
      <c r="G49" s="8" t="s">
        <v>193</v>
      </c>
      <c r="H49" s="15">
        <v>85</v>
      </c>
      <c r="I49" s="16">
        <v>6.2962962962962958</v>
      </c>
    </row>
    <row r="50" spans="1:9" ht="24.75" customHeight="1">
      <c r="A50" s="6" t="s">
        <v>194</v>
      </c>
      <c r="B50" s="7" t="s">
        <v>189</v>
      </c>
      <c r="C50" s="7" t="s">
        <v>100</v>
      </c>
      <c r="D50" s="6" t="s">
        <v>85</v>
      </c>
      <c r="E50" s="6">
        <v>5.0999999999999996</v>
      </c>
      <c r="F50" s="6">
        <v>150</v>
      </c>
      <c r="G50" s="8" t="s">
        <v>195</v>
      </c>
      <c r="H50" s="15">
        <v>83</v>
      </c>
      <c r="I50" s="16">
        <v>6.1481481481481479</v>
      </c>
    </row>
    <row r="51" spans="1:9" ht="24.75" customHeight="1">
      <c r="A51" s="6" t="s">
        <v>196</v>
      </c>
      <c r="B51" s="7" t="s">
        <v>189</v>
      </c>
      <c r="C51" s="7" t="s">
        <v>126</v>
      </c>
      <c r="D51" s="6" t="s">
        <v>85</v>
      </c>
      <c r="E51" s="6">
        <v>8</v>
      </c>
      <c r="F51" s="6">
        <v>236</v>
      </c>
      <c r="G51" s="8" t="s">
        <v>197</v>
      </c>
      <c r="H51" s="15">
        <v>111</v>
      </c>
      <c r="I51" s="16">
        <v>8.2222222222222214</v>
      </c>
    </row>
    <row r="52" spans="1:9" ht="24.75" customHeight="1">
      <c r="A52" s="6" t="s">
        <v>198</v>
      </c>
      <c r="B52" s="7" t="s">
        <v>199</v>
      </c>
      <c r="C52" s="7" t="s">
        <v>86</v>
      </c>
      <c r="D52" s="6" t="s">
        <v>85</v>
      </c>
      <c r="E52" s="6">
        <v>12</v>
      </c>
      <c r="F52" s="6">
        <v>300</v>
      </c>
      <c r="G52" s="8" t="s">
        <v>200</v>
      </c>
      <c r="H52" s="15">
        <v>69</v>
      </c>
      <c r="I52" s="16">
        <v>5.1111111111111116</v>
      </c>
    </row>
    <row r="53" spans="1:9" ht="24.75" customHeight="1">
      <c r="A53" s="6" t="s">
        <v>201</v>
      </c>
      <c r="B53" s="7" t="s">
        <v>199</v>
      </c>
      <c r="C53" s="7" t="s">
        <v>100</v>
      </c>
      <c r="D53" s="6" t="s">
        <v>85</v>
      </c>
      <c r="E53" s="6">
        <v>12</v>
      </c>
      <c r="F53" s="6">
        <v>300</v>
      </c>
      <c r="G53" s="8" t="s">
        <v>202</v>
      </c>
      <c r="H53" s="15">
        <v>136</v>
      </c>
      <c r="I53" s="16">
        <v>10.074074074074074</v>
      </c>
    </row>
    <row r="54" spans="1:9" ht="24.75" customHeight="1">
      <c r="A54" s="6" t="s">
        <v>203</v>
      </c>
      <c r="B54" s="7" t="s">
        <v>199</v>
      </c>
      <c r="C54" s="7" t="s">
        <v>84</v>
      </c>
      <c r="D54" s="6" t="s">
        <v>85</v>
      </c>
      <c r="E54" s="6">
        <v>10.199999999999999</v>
      </c>
      <c r="F54" s="6">
        <v>300</v>
      </c>
      <c r="G54" s="8" t="s">
        <v>204</v>
      </c>
      <c r="H54" s="15">
        <v>56</v>
      </c>
      <c r="I54" s="16">
        <v>4.1481481481481479</v>
      </c>
    </row>
    <row r="55" spans="1:9" ht="24.75" customHeight="1">
      <c r="A55" s="6" t="s">
        <v>205</v>
      </c>
      <c r="B55" s="7" t="s">
        <v>199</v>
      </c>
      <c r="C55" s="7" t="s">
        <v>84</v>
      </c>
      <c r="D55" s="6" t="s">
        <v>85</v>
      </c>
      <c r="E55" s="6">
        <v>10.199999999999999</v>
      </c>
      <c r="F55" s="6">
        <v>300</v>
      </c>
      <c r="G55" s="8" t="s">
        <v>206</v>
      </c>
      <c r="H55" s="15">
        <v>110</v>
      </c>
      <c r="I55" s="16">
        <v>8.148148148148147</v>
      </c>
    </row>
    <row r="56" spans="1:9" ht="24.75" customHeight="1">
      <c r="A56" s="6" t="s">
        <v>207</v>
      </c>
      <c r="B56" s="7" t="s">
        <v>199</v>
      </c>
      <c r="C56" s="7" t="s">
        <v>208</v>
      </c>
      <c r="D56" s="6" t="s">
        <v>85</v>
      </c>
      <c r="E56" s="6">
        <v>6</v>
      </c>
      <c r="F56" s="6">
        <v>150</v>
      </c>
      <c r="G56" s="8" t="s">
        <v>209</v>
      </c>
      <c r="H56" s="15">
        <v>80</v>
      </c>
      <c r="I56" s="16">
        <v>5.9259259259259256</v>
      </c>
    </row>
    <row r="57" spans="1:9" ht="24.75" customHeight="1">
      <c r="A57" s="6" t="s">
        <v>210</v>
      </c>
      <c r="B57" s="7" t="s">
        <v>199</v>
      </c>
      <c r="C57" s="7" t="s">
        <v>208</v>
      </c>
      <c r="D57" s="6" t="s">
        <v>85</v>
      </c>
      <c r="E57" s="6">
        <v>16.899999999999999</v>
      </c>
      <c r="F57" s="6">
        <v>500</v>
      </c>
      <c r="G57" s="8" t="s">
        <v>211</v>
      </c>
      <c r="H57" s="15">
        <v>80</v>
      </c>
      <c r="I57" s="16">
        <v>5.9259259259259256</v>
      </c>
    </row>
    <row r="58" spans="1:9" ht="24.75" customHeight="1">
      <c r="A58" s="6" t="s">
        <v>212</v>
      </c>
      <c r="B58" s="7" t="s">
        <v>199</v>
      </c>
      <c r="C58" s="7" t="s">
        <v>86</v>
      </c>
      <c r="D58" s="6" t="s">
        <v>85</v>
      </c>
      <c r="E58" s="6">
        <v>10.199999999999999</v>
      </c>
      <c r="F58" s="6">
        <v>300</v>
      </c>
      <c r="G58" s="8" t="s">
        <v>213</v>
      </c>
      <c r="H58" s="15">
        <v>80</v>
      </c>
      <c r="I58" s="16">
        <v>5.9259259259259256</v>
      </c>
    </row>
    <row r="59" spans="1:9" ht="24.75" customHeight="1">
      <c r="A59" s="6" t="s">
        <v>214</v>
      </c>
      <c r="B59" s="7" t="s">
        <v>199</v>
      </c>
      <c r="C59" s="7" t="s">
        <v>86</v>
      </c>
      <c r="D59" s="6" t="s">
        <v>85</v>
      </c>
      <c r="E59" s="6">
        <v>8.4</v>
      </c>
      <c r="F59" s="6">
        <v>250</v>
      </c>
      <c r="G59" s="8" t="s">
        <v>215</v>
      </c>
      <c r="H59" s="15">
        <v>87</v>
      </c>
      <c r="I59" s="16">
        <v>6.4444444444444438</v>
      </c>
    </row>
    <row r="60" spans="1:9" ht="24.75" customHeight="1">
      <c r="A60" s="6" t="s">
        <v>216</v>
      </c>
      <c r="B60" s="7" t="s">
        <v>199</v>
      </c>
      <c r="C60" s="7" t="s">
        <v>157</v>
      </c>
      <c r="D60" s="6" t="s">
        <v>85</v>
      </c>
      <c r="E60" s="6">
        <v>6.5</v>
      </c>
      <c r="F60" s="6">
        <v>250</v>
      </c>
      <c r="G60" s="8" t="s">
        <v>217</v>
      </c>
      <c r="H60" s="15">
        <v>87</v>
      </c>
      <c r="I60" s="16">
        <v>6.4444444444444438</v>
      </c>
    </row>
    <row r="61" spans="1:9" ht="24.75" customHeight="1">
      <c r="A61" s="6" t="s">
        <v>218</v>
      </c>
      <c r="B61" s="7" t="s">
        <v>199</v>
      </c>
      <c r="C61" s="7" t="s">
        <v>157</v>
      </c>
      <c r="D61" s="6" t="s">
        <v>85</v>
      </c>
      <c r="E61" s="6">
        <v>6.5</v>
      </c>
      <c r="F61" s="6">
        <v>250</v>
      </c>
      <c r="G61" s="8" t="s">
        <v>219</v>
      </c>
      <c r="H61" s="15">
        <v>118</v>
      </c>
      <c r="I61" s="16">
        <v>8.7407407407407405</v>
      </c>
    </row>
    <row r="62" spans="1:9" ht="24.75" customHeight="1">
      <c r="A62" s="6" t="s">
        <v>220</v>
      </c>
      <c r="B62" s="7" t="s">
        <v>199</v>
      </c>
      <c r="C62" s="7" t="s">
        <v>100</v>
      </c>
      <c r="D62" s="6" t="s">
        <v>85</v>
      </c>
      <c r="E62" s="6">
        <v>8</v>
      </c>
      <c r="F62" s="6">
        <v>200</v>
      </c>
      <c r="G62" s="8" t="s">
        <v>221</v>
      </c>
      <c r="H62" s="15">
        <v>95</v>
      </c>
      <c r="I62" s="16">
        <v>7.0370370370370372</v>
      </c>
    </row>
    <row r="63" spans="1:9" ht="24.75" customHeight="1">
      <c r="A63" s="6" t="s">
        <v>222</v>
      </c>
      <c r="B63" s="7" t="s">
        <v>199</v>
      </c>
      <c r="C63" s="7" t="s">
        <v>84</v>
      </c>
      <c r="D63" s="6" t="s">
        <v>85</v>
      </c>
      <c r="E63" s="6">
        <v>8.4</v>
      </c>
      <c r="F63" s="6">
        <v>250</v>
      </c>
      <c r="G63" s="8" t="s">
        <v>223</v>
      </c>
      <c r="H63" s="15">
        <v>70</v>
      </c>
      <c r="I63" s="16">
        <v>5.1851851851851851</v>
      </c>
    </row>
    <row r="64" spans="1:9" ht="24.75" customHeight="1">
      <c r="A64" s="6" t="s">
        <v>224</v>
      </c>
      <c r="B64" s="7" t="s">
        <v>199</v>
      </c>
      <c r="C64" s="7" t="s">
        <v>157</v>
      </c>
      <c r="D64" s="6" t="s">
        <v>85</v>
      </c>
      <c r="E64" s="6">
        <v>7.6</v>
      </c>
      <c r="F64" s="6">
        <v>200</v>
      </c>
      <c r="G64" s="8" t="s">
        <v>225</v>
      </c>
      <c r="H64" s="15">
        <v>102</v>
      </c>
      <c r="I64" s="16">
        <v>7.5555555555555554</v>
      </c>
    </row>
    <row r="65" spans="1:9" ht="24.75" customHeight="1">
      <c r="A65" s="6" t="s">
        <v>226</v>
      </c>
      <c r="B65" s="7" t="s">
        <v>199</v>
      </c>
      <c r="C65" s="7" t="s">
        <v>100</v>
      </c>
      <c r="D65" s="6" t="s">
        <v>85</v>
      </c>
      <c r="E65" s="6">
        <v>8</v>
      </c>
      <c r="F65" s="6">
        <v>200</v>
      </c>
      <c r="G65" s="8" t="s">
        <v>227</v>
      </c>
      <c r="H65" s="15">
        <v>50</v>
      </c>
      <c r="I65" s="16">
        <v>3.7037037037037037</v>
      </c>
    </row>
    <row r="66" spans="1:9" ht="24.75" customHeight="1">
      <c r="A66" s="6" t="s">
        <v>228</v>
      </c>
      <c r="B66" s="7" t="s">
        <v>199</v>
      </c>
      <c r="C66" s="7" t="s">
        <v>100</v>
      </c>
      <c r="D66" s="6" t="s">
        <v>85</v>
      </c>
      <c r="E66" s="6">
        <v>2.6</v>
      </c>
      <c r="F66" s="6">
        <v>75</v>
      </c>
      <c r="G66" s="8" t="s">
        <v>229</v>
      </c>
      <c r="H66" s="15">
        <v>92</v>
      </c>
      <c r="I66" s="16">
        <v>6.814814814814814</v>
      </c>
    </row>
    <row r="67" spans="1:9" ht="24.75" customHeight="1">
      <c r="A67" s="6" t="s">
        <v>230</v>
      </c>
      <c r="B67" s="7" t="s">
        <v>231</v>
      </c>
      <c r="C67" s="7" t="s">
        <v>84</v>
      </c>
      <c r="D67" s="6" t="s">
        <v>85</v>
      </c>
      <c r="E67" s="6">
        <v>12</v>
      </c>
      <c r="F67" s="6">
        <v>350</v>
      </c>
      <c r="G67" s="8" t="s">
        <v>232</v>
      </c>
      <c r="H67" s="15">
        <v>53</v>
      </c>
      <c r="I67" s="16">
        <v>3.9259259259259256</v>
      </c>
    </row>
    <row r="68" spans="1:9" ht="24.75" customHeight="1">
      <c r="A68" s="6" t="s">
        <v>233</v>
      </c>
      <c r="B68" s="7" t="s">
        <v>231</v>
      </c>
      <c r="C68" s="7" t="s">
        <v>173</v>
      </c>
      <c r="D68" s="6" t="s">
        <v>85</v>
      </c>
      <c r="E68" s="6">
        <v>12</v>
      </c>
      <c r="F68" s="6">
        <v>350</v>
      </c>
      <c r="G68" s="8" t="s">
        <v>234</v>
      </c>
      <c r="H68" s="15">
        <v>92</v>
      </c>
      <c r="I68" s="16">
        <v>6.814814814814814</v>
      </c>
    </row>
    <row r="69" spans="1:9" ht="24.75" customHeight="1">
      <c r="A69" s="6" t="s">
        <v>235</v>
      </c>
      <c r="B69" s="7" t="s">
        <v>231</v>
      </c>
      <c r="C69" s="7" t="s">
        <v>86</v>
      </c>
      <c r="D69" s="6" t="s">
        <v>85</v>
      </c>
      <c r="E69" s="6">
        <v>12</v>
      </c>
      <c r="F69" s="6">
        <v>350</v>
      </c>
      <c r="G69" s="8" t="s">
        <v>236</v>
      </c>
      <c r="H69" s="15">
        <v>127</v>
      </c>
      <c r="I69" s="16">
        <v>9.4074074074074083</v>
      </c>
    </row>
    <row r="70" spans="1:9" ht="24.75" customHeight="1">
      <c r="A70" s="6" t="s">
        <v>237</v>
      </c>
      <c r="B70" s="7" t="s">
        <v>231</v>
      </c>
      <c r="C70" s="7" t="s">
        <v>158</v>
      </c>
      <c r="D70" s="6" t="s">
        <v>85</v>
      </c>
      <c r="E70" s="6">
        <v>4</v>
      </c>
      <c r="F70" s="6">
        <v>118</v>
      </c>
      <c r="G70" s="8" t="s">
        <v>238</v>
      </c>
      <c r="H70" s="15">
        <v>63</v>
      </c>
      <c r="I70" s="16">
        <v>4.666666666666667</v>
      </c>
    </row>
    <row r="71" spans="1:9" ht="24.75" customHeight="1">
      <c r="A71" s="6" t="s">
        <v>239</v>
      </c>
      <c r="B71" s="7" t="s">
        <v>231</v>
      </c>
      <c r="C71" s="7" t="s">
        <v>158</v>
      </c>
      <c r="D71" s="6" t="s">
        <v>85</v>
      </c>
      <c r="E71" s="6">
        <v>4.2</v>
      </c>
      <c r="F71" s="6">
        <v>125</v>
      </c>
      <c r="G71" s="8" t="s">
        <v>240</v>
      </c>
      <c r="H71" s="15">
        <v>125</v>
      </c>
      <c r="I71" s="16">
        <v>9.2592592592592595</v>
      </c>
    </row>
    <row r="72" spans="1:9" ht="24.75" customHeight="1">
      <c r="A72" s="6" t="s">
        <v>241</v>
      </c>
      <c r="B72" s="7" t="s">
        <v>231</v>
      </c>
      <c r="C72" s="7" t="s">
        <v>157</v>
      </c>
      <c r="D72" s="6" t="s">
        <v>85</v>
      </c>
      <c r="E72" s="6">
        <v>8</v>
      </c>
      <c r="F72" s="6">
        <v>2250</v>
      </c>
      <c r="G72" s="8" t="s">
        <v>242</v>
      </c>
      <c r="H72" s="15">
        <v>86</v>
      </c>
      <c r="I72" s="16">
        <v>6.3703703703703702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showGridLines="0" zoomScale="85" zoomScaleNormal="85" workbookViewId="0">
      <selection activeCell="C1" sqref="C1"/>
    </sheetView>
  </sheetViews>
  <sheetFormatPr defaultColWidth="11" defaultRowHeight="14.4"/>
  <cols>
    <col min="1" max="1" width="8.6640625" style="20" customWidth="1"/>
    <col min="2" max="2" width="9.88671875" style="20" customWidth="1"/>
    <col min="3" max="3" width="46.33203125" style="20" customWidth="1"/>
    <col min="4" max="4" width="10.44140625" style="20" customWidth="1"/>
    <col min="5" max="16384" width="11" style="20"/>
  </cols>
  <sheetData>
    <row r="1" spans="1:6" ht="19.5" customHeight="1">
      <c r="A1" s="41" t="s">
        <v>246</v>
      </c>
      <c r="B1" s="41"/>
      <c r="C1" s="41"/>
      <c r="D1" s="41"/>
      <c r="E1" s="41"/>
      <c r="F1" s="19"/>
    </row>
    <row r="2" spans="1:6" ht="19.5" customHeight="1">
      <c r="A2" s="19" t="s">
        <v>247</v>
      </c>
      <c r="B2" s="67">
        <f ca="1">TODAY()</f>
        <v>42901</v>
      </c>
      <c r="C2" s="67"/>
      <c r="D2" s="26" t="s">
        <v>249</v>
      </c>
      <c r="E2" s="27" t="str">
        <f>VLOOKUP(E3,Clientes!A2:F24,3,FALSE)</f>
        <v>7949084-0</v>
      </c>
      <c r="F2" s="19"/>
    </row>
    <row r="3" spans="1:6" ht="19.5" customHeight="1">
      <c r="A3" s="19" t="s">
        <v>36</v>
      </c>
      <c r="B3" s="68" t="str">
        <f>VLOOKUP(E3,Clientes!A2:F24,2,FALSE)</f>
        <v>Romero Lucas</v>
      </c>
      <c r="C3" s="68"/>
      <c r="D3" s="19" t="s">
        <v>245</v>
      </c>
      <c r="E3" s="56" t="s">
        <v>14</v>
      </c>
      <c r="F3" s="19"/>
    </row>
    <row r="4" spans="1:6" ht="29.25" customHeight="1">
      <c r="A4" s="19" t="s">
        <v>248</v>
      </c>
      <c r="B4" s="68" t="s">
        <v>1</v>
      </c>
      <c r="C4" s="68"/>
      <c r="D4" s="19"/>
      <c r="E4" s="19"/>
      <c r="F4" s="19"/>
    </row>
    <row r="5" spans="1:6" ht="19.5" customHeight="1">
      <c r="A5" s="19"/>
      <c r="B5" s="19"/>
      <c r="C5" s="19"/>
      <c r="D5" s="19"/>
      <c r="E5" s="19"/>
      <c r="F5" s="19"/>
    </row>
    <row r="6" spans="1:6" ht="19.5" customHeight="1">
      <c r="A6" s="27" t="s">
        <v>250</v>
      </c>
      <c r="B6" s="27" t="s">
        <v>32</v>
      </c>
      <c r="C6" s="27" t="s">
        <v>251</v>
      </c>
      <c r="D6" s="27" t="s">
        <v>82</v>
      </c>
      <c r="E6" s="27" t="s">
        <v>252</v>
      </c>
      <c r="F6" s="19"/>
    </row>
    <row r="7" spans="1:6" s="21" customFormat="1" ht="28.5" customHeight="1">
      <c r="A7" s="54">
        <v>5</v>
      </c>
      <c r="B7" s="55" t="s">
        <v>89</v>
      </c>
      <c r="C7" s="25" t="str">
        <f>VLOOKUP(B7,Table1[],7,FALSE)</f>
        <v>MICRO HIDRATION THERAPY BIO IONIC ACONDICIONADOR HIDRATANTE 1000 ML 33.8 OZ</v>
      </c>
      <c r="D7" s="28">
        <f>VLOOKUP($B7,Table1[],8,FALSE)</f>
        <v>51</v>
      </c>
      <c r="E7" s="29">
        <f>D7*A7</f>
        <v>255</v>
      </c>
      <c r="F7" s="22"/>
    </row>
    <row r="8" spans="1:6" s="21" customFormat="1" ht="28.5" customHeight="1">
      <c r="A8" s="54">
        <v>2</v>
      </c>
      <c r="B8" s="55" t="s">
        <v>104</v>
      </c>
      <c r="C8" s="25" t="str">
        <f>VLOOKUP(B8,Table1[],7,FALSE)</f>
        <v>AVENA NUMERO 1.0 TREAT AND CLEANSE</v>
      </c>
      <c r="D8" s="28">
        <f>VLOOKUP($B8,Table1[],8,FALSE)</f>
        <v>50</v>
      </c>
      <c r="E8" s="29">
        <f t="shared" ref="E8:E12" si="0">D8*A8</f>
        <v>100</v>
      </c>
      <c r="F8" s="22"/>
    </row>
    <row r="9" spans="1:6" s="21" customFormat="1" ht="28.5" customHeight="1">
      <c r="A9" s="54">
        <v>4</v>
      </c>
      <c r="B9" s="55" t="s">
        <v>104</v>
      </c>
      <c r="C9" s="25" t="str">
        <f>VLOOKUP(B9,Table1[],7,FALSE)</f>
        <v>AVENA NUMERO 1.0 TREAT AND CLEANSE</v>
      </c>
      <c r="D9" s="28">
        <f>VLOOKUP($B9,Table1[],8,FALSE)</f>
        <v>50</v>
      </c>
      <c r="E9" s="29">
        <f t="shared" si="0"/>
        <v>200</v>
      </c>
      <c r="F9" s="22"/>
    </row>
    <row r="10" spans="1:6" s="21" customFormat="1" ht="28.5" customHeight="1">
      <c r="A10" s="54">
        <v>7</v>
      </c>
      <c r="B10" s="55" t="s">
        <v>93</v>
      </c>
      <c r="C10" s="25" t="str">
        <f>VLOOKUP(B10,Table1[],7,FALSE)</f>
        <v>MICRO HIDRATION THERAPY BIO IONIC SHAMPOO HIDRATANTE 250 ML 8.5 OZ</v>
      </c>
      <c r="D10" s="28">
        <f>VLOOKUP($B10,Table1[],8,FALSE)</f>
        <v>139</v>
      </c>
      <c r="E10" s="29">
        <f t="shared" si="0"/>
        <v>973</v>
      </c>
      <c r="F10" s="22"/>
    </row>
    <row r="11" spans="1:6" s="21" customFormat="1" ht="28.5" customHeight="1">
      <c r="A11" s="54">
        <v>1</v>
      </c>
      <c r="B11" s="55" t="s">
        <v>136</v>
      </c>
      <c r="C11" s="25" t="str">
        <f>VLOOKUP(B11,Table1[],7,FALSE)</f>
        <v>HAIR CUR TRATAMIENTO INTENSIVO SHAMPOO BAÑO CALMANTE CUTE SENSIBILE 200 ML</v>
      </c>
      <c r="D11" s="28">
        <f>VLOOKUP($B11,Table1[],8,FALSE)</f>
        <v>56</v>
      </c>
      <c r="E11" s="29">
        <f t="shared" si="0"/>
        <v>56</v>
      </c>
    </row>
    <row r="12" spans="1:6" s="21" customFormat="1" ht="28.5" customHeight="1">
      <c r="A12" s="54">
        <v>3</v>
      </c>
      <c r="B12" s="55" t="s">
        <v>207</v>
      </c>
      <c r="C12" s="25" t="str">
        <f>VLOOKUP(B12,Table1[],7,FALSE)</f>
        <v>SENSCIENCE INNER HAIR CARE STYLING FROTH ESPUMA ESTILIZANTE  150 ML  6 ONZ</v>
      </c>
      <c r="D12" s="28">
        <f>VLOOKUP($B12,Table1[],8,FALSE)</f>
        <v>80</v>
      </c>
      <c r="E12" s="30">
        <f t="shared" si="0"/>
        <v>240</v>
      </c>
    </row>
    <row r="13" spans="1:6" ht="30" customHeight="1">
      <c r="A13" s="31"/>
      <c r="B13" s="19"/>
      <c r="C13" s="35" t="s">
        <v>253</v>
      </c>
      <c r="D13" s="32"/>
      <c r="E13" s="58">
        <f>SUM(E7:E12)</f>
        <v>1824</v>
      </c>
    </row>
    <row r="14" spans="1:6" ht="33" customHeight="1" thickBot="1">
      <c r="C14" s="5" t="s">
        <v>254</v>
      </c>
      <c r="D14" s="57">
        <f>HLOOKUP(C20,Clientes!I2:K3,2,FALSE)</f>
        <v>0.1</v>
      </c>
      <c r="E14" s="59">
        <f>D14*E13</f>
        <v>182.4</v>
      </c>
    </row>
    <row r="15" spans="1:6" ht="21" customHeight="1" thickTop="1">
      <c r="C15" s="5" t="s">
        <v>255</v>
      </c>
      <c r="E15" s="60">
        <f>E13-E14</f>
        <v>1641.6</v>
      </c>
    </row>
    <row r="16" spans="1:6">
      <c r="F16" s="23"/>
    </row>
    <row r="17" spans="1:6">
      <c r="A17" s="5" t="s">
        <v>257</v>
      </c>
      <c r="C17" s="61" t="str">
        <f>LOOKUP(E3,Table2[CODIGO],Table2[Credito])</f>
        <v>CR30</v>
      </c>
      <c r="F17" s="23"/>
    </row>
    <row r="18" spans="1:6" s="47" customFormat="1" ht="15" customHeight="1">
      <c r="A18" s="49" t="s">
        <v>256</v>
      </c>
      <c r="C18" s="62">
        <f ca="1">IF(C17="CR30",TODAY()+30,IF(C17="CR15",TODAY()+15,TODAY()))</f>
        <v>42931</v>
      </c>
    </row>
    <row r="19" spans="1:6">
      <c r="A19" s="5" t="s">
        <v>274</v>
      </c>
      <c r="C19" s="63">
        <f ca="1">IF(WEEKDAY(C18,16)=2,C18+1,C18)</f>
        <v>42931</v>
      </c>
    </row>
    <row r="20" spans="1:6" ht="15" customHeight="1">
      <c r="A20" s="5" t="s">
        <v>258</v>
      </c>
      <c r="C20" s="61" t="str">
        <f>LOOKUP(E3,Table2[CODIGO],Table2[TIPO])</f>
        <v>Salon</v>
      </c>
    </row>
  </sheetData>
  <sheetProtection password="E97B" sheet="1" objects="1" scenarios="1"/>
  <mergeCells count="3">
    <mergeCell ref="B2:C2"/>
    <mergeCell ref="B3:C3"/>
    <mergeCell ref="B4:C4"/>
  </mergeCells>
  <dataValidations count="1">
    <dataValidation type="whole" allowBlank="1" showInputMessage="1" showErrorMessage="1" sqref="A7:A12">
      <formula1>1</formula1>
      <formula2>100</formula2>
    </dataValidation>
  </dataValidations>
  <pageMargins left="0.70866141732283472" right="0.31496062992125984" top="0.74803149606299213" bottom="0.74803149606299213" header="0.31496062992125984" footer="0.31496062992125984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Clientes!$A$3:$A$24</xm:f>
          </x14:formula1>
          <xm:sqref>E3</xm:sqref>
        </x14:dataValidation>
        <x14:dataValidation type="list" allowBlank="1" showInputMessage="1" showErrorMessage="1">
          <x14:formula1>
            <xm:f>Productos!$A$3:$A$72</xm:f>
          </x14:formula1>
          <xm:sqref>B7:B12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Factura Instrucciones</vt:lpstr>
      <vt:lpstr>Clientes</vt:lpstr>
      <vt:lpstr>Productos</vt:lpstr>
      <vt:lpstr>Factura Resultado</vt:lpstr>
    </vt:vector>
  </TitlesOfParts>
  <Company>Familia González Orozco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Orozco de González</dc:creator>
  <cp:lastModifiedBy>Stephany Orozco de González</cp:lastModifiedBy>
  <cp:lastPrinted>2015-05-12T23:27:24Z</cp:lastPrinted>
  <dcterms:created xsi:type="dcterms:W3CDTF">2014-10-14T17:23:42Z</dcterms:created>
  <dcterms:modified xsi:type="dcterms:W3CDTF">2017-06-15T21:12:02Z</dcterms:modified>
</cp:coreProperties>
</file>